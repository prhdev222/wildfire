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SI-Z16\Documents\temp\_Dataset_BI_Pmacs\"/>
    </mc:Choice>
  </mc:AlternateContent>
  <xr:revisionPtr revIDLastSave="0" documentId="13_ncr:1_{A6628F12-B3C4-4BF8-9BF4-6E651810B789}" xr6:coauthVersionLast="47" xr6:coauthVersionMax="47" xr10:uidLastSave="{00000000-0000-0000-0000-000000000000}"/>
  <bookViews>
    <workbookView xWindow="-110" yWindow="-110" windowWidth="25820" windowHeight="15500" tabRatio="542" xr2:uid="{00000000-000D-0000-FFFF-FFFF00000000}"/>
  </bookViews>
  <sheets>
    <sheet name="Sheet1" sheetId="27" r:id="rId1"/>
    <sheet name="9 จังหวัดok " sheetId="26" state="hidden" r:id="rId2"/>
    <sheet name="ปชส(ok)" sheetId="17" state="hidden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Sheet1!$A$1:$D$586</definedName>
    <definedName name="_xlnm.Print_Titles" localSheetId="1">'9 จังหวัดok '!$3:$5</definedName>
    <definedName name="_xlnm.Print_Titles" localSheetId="2">'ปชส(ok)'!$4:$5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5" i="26" l="1"/>
  <c r="AR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AL15" i="26"/>
  <c r="AM15" i="26"/>
  <c r="AN15" i="26"/>
  <c r="C15" i="26"/>
  <c r="AP15" i="26"/>
  <c r="AO15" i="26"/>
  <c r="AM22" i="17"/>
  <c r="AN22" i="17"/>
  <c r="AL22" i="17"/>
  <c r="AK22" i="17"/>
  <c r="AH31" i="17"/>
  <c r="AH30" i="17"/>
  <c r="AH26" i="17"/>
  <c r="AH16" i="17"/>
  <c r="AH13" i="17"/>
  <c r="AH14" i="17"/>
  <c r="AH9" i="17"/>
  <c r="AH10" i="17"/>
  <c r="AH11" i="17"/>
  <c r="AH8" i="17"/>
  <c r="W28" i="17"/>
  <c r="W26" i="17"/>
  <c r="W25" i="17"/>
  <c r="W22" i="17"/>
  <c r="W23" i="17"/>
  <c r="W21" i="17"/>
  <c r="W16" i="17"/>
  <c r="W18" i="17"/>
  <c r="W14" i="17"/>
  <c r="W9" i="17"/>
  <c r="H31" i="17"/>
  <c r="H30" i="17"/>
  <c r="H28" i="17"/>
  <c r="H26" i="17"/>
  <c r="H24" i="17"/>
  <c r="H22" i="17"/>
  <c r="H21" i="17"/>
</calcChain>
</file>

<file path=xl/sharedStrings.xml><?xml version="1.0" encoding="utf-8"?>
<sst xmlns="http://schemas.openxmlformats.org/spreadsheetml/2006/main" count="900" uniqueCount="154">
  <si>
    <t>ปี 2541</t>
  </si>
  <si>
    <t>ปี 2542</t>
  </si>
  <si>
    <t>ปี 2543</t>
  </si>
  <si>
    <t>กิจกรรม</t>
  </si>
  <si>
    <t>แผน</t>
  </si>
  <si>
    <t>ผล</t>
  </si>
  <si>
    <t>1.  การรณรงค์ป้องกันไฟป่า</t>
  </si>
  <si>
    <t>ครั้ง</t>
  </si>
  <si>
    <t>ป้าย</t>
  </si>
  <si>
    <t>แผ่น</t>
  </si>
  <si>
    <t>เล่ม</t>
  </si>
  <si>
    <t>ไร่</t>
  </si>
  <si>
    <t>คน</t>
  </si>
  <si>
    <t>หน่วย</t>
  </si>
  <si>
    <t>เมตร</t>
  </si>
  <si>
    <t>(ครั้ง)</t>
  </si>
  <si>
    <t>(ไร่)</t>
  </si>
  <si>
    <t>1</t>
  </si>
  <si>
    <t>2</t>
  </si>
  <si>
    <t>3</t>
  </si>
  <si>
    <t>4</t>
  </si>
  <si>
    <t>5</t>
  </si>
  <si>
    <t>กำหนดไม่ได้</t>
  </si>
  <si>
    <t>ไม่มีแผนงาน</t>
  </si>
  <si>
    <t>ปี 2544</t>
  </si>
  <si>
    <t>ปี 2545</t>
  </si>
  <si>
    <t>กม.</t>
  </si>
  <si>
    <t>งบประมาณ 2541-2544  ยังไม่มีแผนดำเนินการ</t>
  </si>
  <si>
    <t>วัด</t>
  </si>
  <si>
    <t>ปี 2546</t>
  </si>
  <si>
    <t>ปี 2547</t>
  </si>
  <si>
    <t>ปี 2548</t>
  </si>
  <si>
    <t>1.1  การประชาสัมพันธ์ป้องกันไฟป่า</t>
  </si>
  <si>
    <t xml:space="preserve">     1.1.1  ประชาสัมพันธ์เคลื่อนที่</t>
  </si>
  <si>
    <t xml:space="preserve">     1.1.2  ประชาสัมพันธ์ผ่านสื่อมวลชน</t>
  </si>
  <si>
    <t xml:space="preserve">     1.1.3  ป้ายประชาสัมพันธ์</t>
  </si>
  <si>
    <t xml:space="preserve">     1.1.4  สิ่งตีพิมพ์</t>
  </si>
  <si>
    <t>1.2  ส่งเสริมเผยแพร่</t>
  </si>
  <si>
    <t xml:space="preserve">     1.2.1  เอกสารเผยแพร่</t>
  </si>
  <si>
    <t xml:space="preserve">     1.2.2  จัดนิทรรศการ</t>
  </si>
  <si>
    <t>1.3. ให้การศึกษาและฝึกอบรม</t>
  </si>
  <si>
    <t xml:space="preserve">    1.3.1 ให้การศึกษา</t>
  </si>
  <si>
    <t xml:space="preserve">    1.3.2 การฝึกอบรม</t>
  </si>
  <si>
    <t>1.4. วันรณรงค์ให้ปลอดควันพิษจากไฟป่า 24 กุมภาพันธ์</t>
  </si>
  <si>
    <t>2. การปฏิบัติงานดับไฟป่า</t>
  </si>
  <si>
    <t>2.1 การเตรียมการก่อนฤดูไฟป่า</t>
  </si>
  <si>
    <t xml:space="preserve">       2.1.1  สำรวจพื้นที่ปฏิบัติงาน</t>
  </si>
  <si>
    <t xml:space="preserve">       2.1.2  เตรียมพนักงานดับไฟป่า/เจ้าหน้าที่ประชาสัมพันธ์</t>
  </si>
  <si>
    <t xml:space="preserve">       2.1.3  เตรียมอุปกรณ์และเครื่องมือดับไฟป่า</t>
  </si>
  <si>
    <t>2.2 การดับไฟป่า</t>
  </si>
  <si>
    <t xml:space="preserve">      2.2.1  ตรวจหาไฟและตรวจปราบปรามการลักลอบเผาป่า</t>
  </si>
  <si>
    <t xml:space="preserve">      2.2.2  การดับไฟป่า</t>
  </si>
  <si>
    <t xml:space="preserve">                      -พื้นที่เสียหาย</t>
  </si>
  <si>
    <t xml:space="preserve">       2.1.4  เตรียมทางคมนาคม</t>
  </si>
  <si>
    <t xml:space="preserve">       2.1.5  การจัดทำแนวกันไฟ </t>
  </si>
  <si>
    <t xml:space="preserve">       2.1.6  จัดการเชื้อเพลิง </t>
  </si>
  <si>
    <t>ปี 2549</t>
  </si>
  <si>
    <t>จังหวัด</t>
  </si>
  <si>
    <t>เชียงใหม่</t>
  </si>
  <si>
    <t>แม่ฮ่องสอน</t>
  </si>
  <si>
    <t>ลำปาง</t>
  </si>
  <si>
    <t>ลำพูน</t>
  </si>
  <si>
    <t>เชียงราย</t>
  </si>
  <si>
    <t>6</t>
  </si>
  <si>
    <t>พะเยา</t>
  </si>
  <si>
    <t>7</t>
  </si>
  <si>
    <t>แพร่</t>
  </si>
  <si>
    <t>8</t>
  </si>
  <si>
    <t>น่าน</t>
  </si>
  <si>
    <t>9</t>
  </si>
  <si>
    <t>พิษณุโลก</t>
  </si>
  <si>
    <t>กำแพงเพชร</t>
  </si>
  <si>
    <t>เพชรบูรณ์</t>
  </si>
  <si>
    <t>อุตรดิตถ์</t>
  </si>
  <si>
    <t>สุโขทัย</t>
  </si>
  <si>
    <t>ตาก</t>
  </si>
  <si>
    <t>นครสวรรค์</t>
  </si>
  <si>
    <t>อุทัยธานี</t>
  </si>
  <si>
    <t>นครราชสีมา</t>
  </si>
  <si>
    <t>บุรีรัมย์</t>
  </si>
  <si>
    <t>สุรินทร์</t>
  </si>
  <si>
    <t>ชัยภูมิ</t>
  </si>
  <si>
    <t>ศรีสะเกษ</t>
  </si>
  <si>
    <t>ขอนแก่น</t>
  </si>
  <si>
    <t>อุดรธานี</t>
  </si>
  <si>
    <t>เลย</t>
  </si>
  <si>
    <t>หนองบัวลำภู</t>
  </si>
  <si>
    <t>มหาสารคาม</t>
  </si>
  <si>
    <t>ร้อยเอ็ด</t>
  </si>
  <si>
    <t>หนองคาย</t>
  </si>
  <si>
    <t>สกลนคร</t>
  </si>
  <si>
    <t>นครพนม</t>
  </si>
  <si>
    <t>กาฬสินธุ์</t>
  </si>
  <si>
    <t>มุกดาหาร</t>
  </si>
  <si>
    <t>ยโสธร</t>
  </si>
  <si>
    <t>อำนาจเจริญ</t>
  </si>
  <si>
    <t>อุบลราชธานี</t>
  </si>
  <si>
    <t>กาญจนบุรี</t>
  </si>
  <si>
    <t>ราชบุรี</t>
  </si>
  <si>
    <t>เพชรบุรี</t>
  </si>
  <si>
    <t>สุพรรณบุรี</t>
  </si>
  <si>
    <t>ลพบุรี</t>
  </si>
  <si>
    <t>สระบุรี</t>
  </si>
  <si>
    <t>ฉะเชิงเทรา</t>
  </si>
  <si>
    <t>ปราจีนบุรี</t>
  </si>
  <si>
    <t>สระแก้ว</t>
  </si>
  <si>
    <t>ตราด</t>
  </si>
  <si>
    <t>ระยอง</t>
  </si>
  <si>
    <t>จันทบุรี</t>
  </si>
  <si>
    <t>ชลบุรี</t>
  </si>
  <si>
    <t>นครนายก</t>
  </si>
  <si>
    <t>ประจวบคีรีขันธ์</t>
  </si>
  <si>
    <t>ชุมพร</t>
  </si>
  <si>
    <t>สุราษฎร์ธานี</t>
  </si>
  <si>
    <t>พังงา</t>
  </si>
  <si>
    <t>ระนอง</t>
  </si>
  <si>
    <t>นครศรีธรรมราช</t>
  </si>
  <si>
    <t>กระบี่</t>
  </si>
  <si>
    <t>ตรัง</t>
  </si>
  <si>
    <t>นราธิวาส</t>
  </si>
  <si>
    <t>ยะลา</t>
  </si>
  <si>
    <t>ปัตตานี</t>
  </si>
  <si>
    <t>สงขลา</t>
  </si>
  <si>
    <t>สตูล</t>
  </si>
  <si>
    <t>พัทลุง</t>
  </si>
  <si>
    <t>ภูเก็ต</t>
  </si>
  <si>
    <t>พื้นที่ถูกไฟไหม้</t>
  </si>
  <si>
    <t xml:space="preserve">                      -  การดับไฟป่า</t>
  </si>
  <si>
    <t>ดับไฟป่า</t>
  </si>
  <si>
    <t>ปี 2550</t>
  </si>
  <si>
    <t>ปี 2551</t>
  </si>
  <si>
    <t>ปี 2552</t>
  </si>
  <si>
    <t>ปี 2553</t>
  </si>
  <si>
    <t>ปี 2554</t>
  </si>
  <si>
    <t>ปี 2555</t>
  </si>
  <si>
    <t>บึงกาฬ</t>
  </si>
  <si>
    <t>ปี 2556</t>
  </si>
  <si>
    <t>ปี 2557</t>
  </si>
  <si>
    <t>ปี 2558</t>
  </si>
  <si>
    <t>(2 กิจกรรม)</t>
  </si>
  <si>
    <r>
      <rPr>
        <b/>
        <u/>
        <sz val="15"/>
        <rFont val="TH SarabunPSK"/>
        <family val="2"/>
      </rPr>
      <t>หมายเหตุ</t>
    </r>
    <r>
      <rPr>
        <b/>
        <sz val="15"/>
        <rFont val="TH SarabunPSK"/>
        <family val="2"/>
      </rPr>
      <t xml:space="preserve"> </t>
    </r>
  </si>
  <si>
    <t>1. ปี 2557 มี 2 กิจกรรม คือ กิจกรรมควบคุมไฟป่า และ กิจกรรม AEC</t>
  </si>
  <si>
    <t>1. ปี 2558 มี 2 กิจกรรม คือ กิจกรรมควบคุมไฟป่า และ กิจกรรม AEC</t>
  </si>
  <si>
    <t>ปี 2559</t>
  </si>
  <si>
    <t>เปรียบเทียบแผนและผลการปฏิบัติงานควบคุมไฟป่า ตั้งแต่ปีงบประมาณ พ.ศ. 2542-2559</t>
  </si>
  <si>
    <t>1. ปี 2559 มี 3 กิจกรรม คือ กิจกรรมควบคุมไฟป่า กิจกรรม AEC  และเพิ่มประสิทธิภาพ</t>
  </si>
  <si>
    <t>ปี 2560</t>
  </si>
  <si>
    <t>รวม 9 จังหวัด</t>
  </si>
  <si>
    <t>สถิติการเกิดไฟไหม้ป่า 9 จังหวัดภาคเหนือ ตั้งแต่ปีงบประมาณ พ.ศ. 2541-2561</t>
  </si>
  <si>
    <t>ปี 2561</t>
  </si>
  <si>
    <t>year</t>
  </si>
  <si>
    <t>province</t>
  </si>
  <si>
    <t>number_of_wildfire</t>
  </si>
  <si>
    <t>total_area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</si>
</sst>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3" x14ac:knownFonts="1">
    <font>
      <sz val="14"/>
      <name val="Cordia New"/>
      <charset val="222"/>
    </font>
    <font>
      <sz val="14"/>
      <name val="Cordia New"/>
      <charset val="222"/>
    </font>
    <font>
      <sz val="8"/>
      <name val="Cordia New"/>
      <family val="2"/>
    </font>
    <font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u/>
      <sz val="16"/>
      <name val="TH SarabunPSK"/>
      <family val="2"/>
    </font>
    <font>
      <b/>
      <sz val="14"/>
      <name val="TH SarabunPSK"/>
      <family val="2"/>
    </font>
    <font>
      <b/>
      <sz val="24"/>
      <name val="TH SarabunPSK"/>
      <family val="2"/>
    </font>
    <font>
      <sz val="15"/>
      <name val="TH SarabunPSK"/>
      <family val="2"/>
    </font>
    <font>
      <b/>
      <sz val="15"/>
      <name val="TH SarabunPSK"/>
      <family val="2"/>
    </font>
    <font>
      <b/>
      <sz val="20"/>
      <name val="TH SarabunPSK"/>
      <family val="2"/>
    </font>
    <font>
      <b/>
      <u/>
      <sz val="15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75FFD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/>
    <xf numFmtId="0" fontId="3" fillId="0" borderId="4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41" fontId="3" fillId="0" borderId="6" xfId="0" applyNumberFormat="1" applyFont="1" applyBorder="1" applyAlignment="1">
      <alignment shrinkToFit="1"/>
    </xf>
    <xf numFmtId="0" fontId="3" fillId="0" borderId="0" xfId="0" applyFont="1" applyAlignment="1">
      <alignment shrinkToFit="1"/>
    </xf>
    <xf numFmtId="41" fontId="3" fillId="0" borderId="7" xfId="0" applyNumberFormat="1" applyFont="1" applyBorder="1" applyAlignment="1">
      <alignment shrinkToFit="1"/>
    </xf>
    <xf numFmtId="0" fontId="3" fillId="0" borderId="10" xfId="0" applyFont="1" applyBorder="1" applyAlignment="1">
      <alignment shrinkToFit="1"/>
    </xf>
    <xf numFmtId="41" fontId="3" fillId="0" borderId="11" xfId="0" applyNumberFormat="1" applyFont="1" applyBorder="1" applyAlignment="1">
      <alignment shrinkToFit="1"/>
    </xf>
    <xf numFmtId="41" fontId="3" fillId="0" borderId="0" xfId="0" applyNumberFormat="1" applyFont="1" applyAlignment="1">
      <alignment shrinkToFit="1"/>
    </xf>
    <xf numFmtId="0" fontId="7" fillId="0" borderId="0" xfId="0" applyFont="1" applyAlignment="1">
      <alignment shrinkToFi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shrinkToFit="1"/>
    </xf>
    <xf numFmtId="0" fontId="7" fillId="0" borderId="6" xfId="0" applyFont="1" applyBorder="1" applyAlignment="1">
      <alignment vertical="center" shrinkToFit="1"/>
    </xf>
    <xf numFmtId="0" fontId="9" fillId="0" borderId="7" xfId="0" applyFont="1" applyBorder="1" applyAlignment="1">
      <alignment horizontal="center" vertical="center" shrinkToFit="1"/>
    </xf>
    <xf numFmtId="3" fontId="9" fillId="0" borderId="6" xfId="0" applyNumberFormat="1" applyFont="1" applyBorder="1" applyAlignment="1">
      <alignment horizontal="right" vertical="center" shrinkToFit="1"/>
    </xf>
    <xf numFmtId="164" fontId="9" fillId="0" borderId="6" xfId="1" applyNumberFormat="1" applyFont="1" applyFill="1" applyBorder="1" applyAlignment="1">
      <alignment horizontal="right" vertical="center" shrinkToFit="1"/>
    </xf>
    <xf numFmtId="3" fontId="3" fillId="0" borderId="6" xfId="0" applyNumberFormat="1" applyFont="1" applyBorder="1" applyAlignment="1">
      <alignment horizontal="right" vertical="center" shrinkToFit="1"/>
    </xf>
    <xf numFmtId="0" fontId="9" fillId="0" borderId="6" xfId="0" applyFont="1" applyBorder="1" applyAlignment="1">
      <alignment horizontal="right" vertical="center" shrinkToFit="1"/>
    </xf>
    <xf numFmtId="3" fontId="9" fillId="0" borderId="6" xfId="0" quotePrefix="1" applyNumberFormat="1" applyFont="1" applyBorder="1" applyAlignment="1">
      <alignment horizontal="right" vertical="center" shrinkToFit="1"/>
    </xf>
    <xf numFmtId="3" fontId="9" fillId="0" borderId="7" xfId="0" applyNumberFormat="1" applyFont="1" applyBorder="1" applyAlignment="1">
      <alignment horizontal="right" vertical="center" shrinkToFit="1"/>
    </xf>
    <xf numFmtId="164" fontId="9" fillId="0" borderId="7" xfId="1" applyNumberFormat="1" applyFont="1" applyFill="1" applyBorder="1" applyAlignment="1">
      <alignment horizontal="right" vertical="center" shrinkToFit="1"/>
    </xf>
    <xf numFmtId="3" fontId="3" fillId="0" borderId="7" xfId="0" applyNumberFormat="1" applyFont="1" applyBorder="1" applyAlignment="1">
      <alignment horizontal="right" vertical="center" shrinkToFit="1"/>
    </xf>
    <xf numFmtId="0" fontId="9" fillId="0" borderId="0" xfId="0" applyFont="1" applyAlignment="1">
      <alignment horizontal="right" vertical="center" shrinkToFit="1"/>
    </xf>
    <xf numFmtId="3" fontId="9" fillId="0" borderId="12" xfId="0" applyNumberFormat="1" applyFont="1" applyBorder="1" applyAlignment="1">
      <alignment horizontal="right" vertical="center" shrinkToFit="1"/>
    </xf>
    <xf numFmtId="0" fontId="9" fillId="0" borderId="12" xfId="0" applyFont="1" applyBorder="1" applyAlignment="1">
      <alignment horizontal="right" vertical="center" shrinkToFit="1"/>
    </xf>
    <xf numFmtId="164" fontId="9" fillId="0" borderId="12" xfId="1" applyNumberFormat="1" applyFont="1" applyFill="1" applyBorder="1" applyAlignment="1">
      <alignment horizontal="right" vertical="center" shrinkToFit="1"/>
    </xf>
    <xf numFmtId="3" fontId="9" fillId="0" borderId="0" xfId="0" applyNumberFormat="1" applyFont="1" applyAlignment="1">
      <alignment horizontal="right" vertical="center" shrinkToFit="1"/>
    </xf>
    <xf numFmtId="164" fontId="9" fillId="0" borderId="0" xfId="1" applyNumberFormat="1" applyFont="1" applyFill="1" applyBorder="1" applyAlignment="1">
      <alignment horizontal="right" vertical="center" shrinkToFit="1"/>
    </xf>
    <xf numFmtId="164" fontId="9" fillId="0" borderId="0" xfId="1" applyNumberFormat="1" applyFont="1" applyFill="1" applyAlignment="1">
      <alignment horizontal="right" vertical="center" shrinkToFit="1"/>
    </xf>
    <xf numFmtId="0" fontId="6" fillId="0" borderId="12" xfId="0" applyFont="1" applyBorder="1" applyAlignment="1">
      <alignment vertical="center" shrinkToFit="1"/>
    </xf>
    <xf numFmtId="0" fontId="10" fillId="0" borderId="6" xfId="0" applyFont="1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0" fontId="6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3" fontId="3" fillId="0" borderId="2" xfId="0" applyNumberFormat="1" applyFont="1" applyBorder="1" applyAlignment="1">
      <alignment horizontal="right" vertical="center" shrinkToFit="1"/>
    </xf>
    <xf numFmtId="3" fontId="4" fillId="0" borderId="2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  <xf numFmtId="0" fontId="5" fillId="2" borderId="13" xfId="0" applyFont="1" applyFill="1" applyBorder="1" applyAlignment="1">
      <alignment vertical="center" shrinkToFit="1"/>
    </xf>
    <xf numFmtId="0" fontId="5" fillId="2" borderId="14" xfId="0" applyFont="1" applyFill="1" applyBorder="1" applyAlignment="1">
      <alignment horizontal="center" vertical="center" shrinkToFit="1"/>
    </xf>
    <xf numFmtId="3" fontId="5" fillId="2" borderId="15" xfId="0" applyNumberFormat="1" applyFont="1" applyFill="1" applyBorder="1" applyAlignment="1">
      <alignment vertical="center" shrinkToFit="1"/>
    </xf>
    <xf numFmtId="0" fontId="5" fillId="2" borderId="16" xfId="0" applyFont="1" applyFill="1" applyBorder="1" applyAlignment="1">
      <alignment vertical="center" shrinkToFit="1"/>
    </xf>
    <xf numFmtId="165" fontId="5" fillId="0" borderId="0" xfId="1" applyNumberFormat="1" applyFont="1" applyAlignment="1">
      <alignment vertical="top"/>
    </xf>
    <xf numFmtId="165" fontId="3" fillId="0" borderId="5" xfId="1" applyNumberFormat="1" applyFont="1" applyBorder="1" applyAlignment="1">
      <alignment shrinkToFit="1"/>
    </xf>
    <xf numFmtId="165" fontId="3" fillId="0" borderId="10" xfId="1" applyNumberFormat="1" applyFont="1" applyBorder="1" applyAlignment="1">
      <alignment shrinkToFit="1"/>
    </xf>
    <xf numFmtId="165" fontId="3" fillId="0" borderId="0" xfId="1" applyNumberFormat="1" applyFont="1" applyAlignment="1">
      <alignment shrinkToFit="1"/>
    </xf>
    <xf numFmtId="165" fontId="3" fillId="0" borderId="0" xfId="1" applyNumberFormat="1" applyFont="1"/>
    <xf numFmtId="165" fontId="3" fillId="0" borderId="6" xfId="1" applyNumberFormat="1" applyFont="1" applyBorder="1" applyAlignment="1">
      <alignment shrinkToFit="1"/>
    </xf>
    <xf numFmtId="165" fontId="3" fillId="0" borderId="7" xfId="1" applyNumberFormat="1" applyFont="1" applyBorder="1" applyAlignment="1">
      <alignment shrinkToFit="1"/>
    </xf>
    <xf numFmtId="165" fontId="3" fillId="0" borderId="11" xfId="1" applyNumberFormat="1" applyFont="1" applyBorder="1" applyAlignment="1">
      <alignment shrinkToFit="1"/>
    </xf>
    <xf numFmtId="165" fontId="3" fillId="0" borderId="0" xfId="1" applyNumberFormat="1" applyFont="1" applyBorder="1"/>
    <xf numFmtId="165" fontId="3" fillId="0" borderId="0" xfId="1" applyNumberFormat="1" applyFont="1" applyBorder="1" applyAlignment="1">
      <alignment shrinkToFit="1"/>
    </xf>
    <xf numFmtId="0" fontId="3" fillId="0" borderId="9" xfId="0" applyFont="1" applyBorder="1" applyAlignment="1">
      <alignment shrinkToFit="1"/>
    </xf>
    <xf numFmtId="41" fontId="3" fillId="0" borderId="3" xfId="0" applyNumberFormat="1" applyFont="1" applyBorder="1" applyAlignment="1">
      <alignment shrinkToFit="1"/>
    </xf>
    <xf numFmtId="165" fontId="3" fillId="0" borderId="3" xfId="1" applyNumberFormat="1" applyFont="1" applyBorder="1" applyAlignment="1">
      <alignment shrinkToFit="1"/>
    </xf>
    <xf numFmtId="0" fontId="7" fillId="3" borderId="19" xfId="0" applyFont="1" applyFill="1" applyBorder="1" applyAlignment="1">
      <alignment shrinkToFit="1"/>
    </xf>
    <xf numFmtId="0" fontId="7" fillId="3" borderId="20" xfId="0" applyFont="1" applyFill="1" applyBorder="1" applyAlignment="1">
      <alignment shrinkToFit="1"/>
    </xf>
    <xf numFmtId="0" fontId="7" fillId="3" borderId="1" xfId="0" applyFont="1" applyFill="1" applyBorder="1" applyAlignment="1">
      <alignment horizontal="center" shrinkToFit="1"/>
    </xf>
    <xf numFmtId="165" fontId="7" fillId="3" borderId="1" xfId="1" applyNumberFormat="1" applyFont="1" applyFill="1" applyBorder="1" applyAlignment="1">
      <alignment horizontal="center" shrinkToFit="1"/>
    </xf>
    <xf numFmtId="0" fontId="7" fillId="3" borderId="21" xfId="0" applyFont="1" applyFill="1" applyBorder="1" applyAlignment="1">
      <alignment shrinkToFit="1"/>
    </xf>
    <xf numFmtId="0" fontId="7" fillId="3" borderId="22" xfId="0" applyFont="1" applyFill="1" applyBorder="1" applyAlignment="1">
      <alignment shrinkToFit="1"/>
    </xf>
    <xf numFmtId="0" fontId="7" fillId="3" borderId="3" xfId="0" applyFont="1" applyFill="1" applyBorder="1" applyAlignment="1">
      <alignment horizontal="center" shrinkToFit="1"/>
    </xf>
    <xf numFmtId="165" fontId="7" fillId="3" borderId="3" xfId="1" applyNumberFormat="1" applyFont="1" applyFill="1" applyBorder="1" applyAlignment="1">
      <alignment horizont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16" xfId="0" applyFont="1" applyBorder="1" applyAlignment="1">
      <alignment vertical="center" shrinkToFit="1"/>
    </xf>
    <xf numFmtId="0" fontId="7" fillId="3" borderId="23" xfId="0" applyFont="1" applyFill="1" applyBorder="1" applyAlignment="1">
      <alignment horizontal="center" shrinkToFit="1"/>
    </xf>
    <xf numFmtId="0" fontId="7" fillId="3" borderId="24" xfId="0" applyFont="1" applyFill="1" applyBorder="1" applyAlignment="1">
      <alignment horizontal="center" shrinkToFit="1"/>
    </xf>
    <xf numFmtId="164" fontId="7" fillId="3" borderId="17" xfId="1" applyNumberFormat="1" applyFont="1" applyFill="1" applyBorder="1" applyAlignment="1">
      <alignment horizontal="center" shrinkToFit="1"/>
    </xf>
    <xf numFmtId="164" fontId="7" fillId="3" borderId="18" xfId="1" applyNumberFormat="1" applyFont="1" applyFill="1" applyBorder="1" applyAlignment="1">
      <alignment horizontal="center" shrinkToFit="1"/>
    </xf>
    <xf numFmtId="0" fontId="7" fillId="3" borderId="17" xfId="0" applyFont="1" applyFill="1" applyBorder="1" applyAlignment="1">
      <alignment horizontal="center" shrinkToFit="1"/>
    </xf>
    <xf numFmtId="0" fontId="7" fillId="3" borderId="18" xfId="0" applyFont="1" applyFill="1" applyBorder="1" applyAlignment="1">
      <alignment horizontal="center" shrinkToFit="1"/>
    </xf>
    <xf numFmtId="0" fontId="8" fillId="0" borderId="0" xfId="0" applyFont="1" applyAlignment="1">
      <alignment horizontal="left" vertical="center" shrinkToFit="1"/>
    </xf>
    <xf numFmtId="0" fontId="10" fillId="2" borderId="17" xfId="0" applyFont="1" applyFill="1" applyBorder="1" applyAlignment="1">
      <alignment horizontal="center" vertical="center" shrinkToFit="1"/>
    </xf>
    <xf numFmtId="0" fontId="10" fillId="2" borderId="18" xfId="0" applyFont="1" applyFill="1" applyBorder="1" applyAlignment="1">
      <alignment horizontal="center" vertical="center" shrinkToFit="1"/>
    </xf>
    <xf numFmtId="3" fontId="9" fillId="0" borderId="4" xfId="0" applyNumberFormat="1" applyFont="1" applyBorder="1" applyAlignment="1">
      <alignment horizontal="center" vertical="center" shrinkToFit="1"/>
    </xf>
    <xf numFmtId="3" fontId="9" fillId="0" borderId="25" xfId="0" applyNumberFormat="1" applyFont="1" applyBorder="1" applyAlignment="1">
      <alignment horizontal="center" vertical="center" shrinkToFit="1"/>
    </xf>
    <xf numFmtId="3" fontId="9" fillId="0" borderId="5" xfId="0" applyNumberFormat="1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27" xfId="0" applyFont="1" applyBorder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0%20&#3591;&#3634;&#3609;&#3586;&#3657;&#3629;&#3617;&#3641;&#3621;&#3652;&#3615;&#3611;&#3656;&#3634;/05%20&#3626;&#3619;&#3640;&#3611;&#3612;&#3621;%20(&#3615;&#3611;.5)2541-2556/&#3619;&#3634;&#3618;&#3591;&#3634;&#3609;&#3652;&#3615;&#3611;&#3637;%20%202556/&#3626;&#3619;&#3640;&#3611;&#3619;&#3623;&#3617;%2051-5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26;&#3619;&#3640;&#3611;&#3585;&#3634;&#3619;&#3619;&#3634;&#3618;&#3591;&#3634;&#3609;&#3586;&#3657;&#3629;&#3617;&#3641;&#3621;&#3652;&#3615;&#3611;&#3656;&#3634;%2041-51/&#3626;&#3619;&#3640;&#3611;&#3612;&#3621;&#3585;&#3634;&#3619;&#3611;&#3599;&#3636;&#3610;&#3633;&#3605;&#3636;&#3591;&#3634;&#3609;%20&#3611;&#3637;&#3591;&#3610;&#3611;&#3619;&#3632;&#3617;&#3634;&#3603;%2042-51%20ok/&#3626;&#3619;&#3640;&#3611;&#3611;&#3637;51/&#3626;&#3619;&#3640;&#3611;&#3619;&#3634;&#3618;&#3591;&#3634;&#36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nya\d\My%20Documents\&#3619;&#3634;&#3618;&#3591;&#3634;&#3609;&#3652;&#3615;%20&#3611;&#3637;%202543\&#3612;&#3621;&#3611;&#3599;&#3636;&#3610;&#3633;&#3605;&#3636;&#3591;&#3634;&#3609;&#3626;&#3606;&#3634;&#3609;&#3637;'4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03%20&#3611;&#3637;&#3591;&#3610;&#3611;&#3619;&#3632;&#3617;&#3634;&#3603;%202556/00%20&#3626;&#3606;&#3636;&#3605;&#3636;&#3652;&#3615;&#3611;&#3656;&#3634;%20&#3649;&#3621;&#3632;%20hotspot/01%20&#3626;&#3606;&#3636;&#3605;&#3636;&#3652;&#3615;&#3652;&#3627;&#3617;&#3657;&#3611;&#3656;&#3634;(&#3611;&#3633;&#3592;&#3592;&#3640;&#3610;&#3633;&#360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 ฟป.5"/>
    </sheetNames>
    <sheetDataSet>
      <sheetData sheetId="0">
        <row r="10">
          <cell r="D10">
            <v>6460</v>
          </cell>
        </row>
        <row r="11">
          <cell r="D11">
            <v>7084</v>
          </cell>
        </row>
        <row r="12">
          <cell r="D12">
            <v>9064</v>
          </cell>
        </row>
        <row r="13">
          <cell r="D13">
            <v>266186</v>
          </cell>
        </row>
        <row r="15">
          <cell r="D15">
            <v>107490</v>
          </cell>
        </row>
        <row r="16">
          <cell r="D16">
            <v>1023</v>
          </cell>
        </row>
        <row r="18">
          <cell r="D18">
            <v>2111</v>
          </cell>
        </row>
        <row r="25">
          <cell r="D25">
            <v>766438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ชส"/>
      <sheetName val="แยกภาค"/>
      <sheetName val="จังหวัด"/>
      <sheetName val="หน่วยงาน"/>
      <sheetName val="สาเหตุ"/>
      <sheetName val="สถิติเดือน"/>
      <sheetName val="เวลา"/>
    </sheetNames>
    <sheetDataSet>
      <sheetData sheetId="0" refreshError="1">
        <row r="9">
          <cell r="C9">
            <v>1930</v>
          </cell>
        </row>
        <row r="14">
          <cell r="C14">
            <v>805</v>
          </cell>
        </row>
        <row r="16">
          <cell r="C16">
            <v>2485</v>
          </cell>
        </row>
        <row r="18">
          <cell r="C18">
            <v>141</v>
          </cell>
        </row>
        <row r="21">
          <cell r="C21">
            <v>21062500</v>
          </cell>
        </row>
        <row r="22">
          <cell r="C22">
            <v>5063</v>
          </cell>
        </row>
        <row r="23">
          <cell r="C23">
            <v>337</v>
          </cell>
        </row>
        <row r="24">
          <cell r="C24">
            <v>3000</v>
          </cell>
        </row>
        <row r="25">
          <cell r="C25">
            <v>878800</v>
          </cell>
        </row>
        <row r="27">
          <cell r="C27">
            <v>21062500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ค"/>
      <sheetName val="พย"/>
      <sheetName val="ธค"/>
      <sheetName val="มค"/>
      <sheetName val="กพ"/>
      <sheetName val="มีค"/>
      <sheetName val="เมย"/>
      <sheetName val="พค"/>
      <sheetName val="มิย"/>
      <sheetName val="กค"/>
      <sheetName val="สค"/>
      <sheetName val="กย"/>
      <sheetName val="สรุปผลงาน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73">
          <cell r="N173">
            <v>4777</v>
          </cell>
          <cell r="P173">
            <v>364150</v>
          </cell>
          <cell r="Q173">
            <v>885300</v>
          </cell>
          <cell r="S173">
            <v>9758</v>
          </cell>
          <cell r="T173">
            <v>166174.35000000003</v>
          </cell>
        </row>
      </sheetData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เปรียบเทียบภาค 55-56"/>
      <sheetName val="2. เปรียบเทียบช่วงเวลา55-56"/>
      <sheetName val="3. สาเหตุ 56"/>
      <sheetName val="4. เดือน 56"/>
      <sheetName val="5.เวลา 56"/>
      <sheetName val="5.สรุป ฟป.5"/>
      <sheetName val="1. ย้อนหลัง 5 ปี (51-55)"/>
      <sheetName val="1. สถิติปี 2556 "/>
    </sheetNames>
    <sheetDataSet>
      <sheetData sheetId="0">
        <row r="13">
          <cell r="D13">
            <v>5257</v>
          </cell>
          <cell r="E13">
            <v>58516.880000000005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6"/>
  <sheetViews>
    <sheetView tabSelected="1" workbookViewId="0">
      <selection activeCell="J8" sqref="J8"/>
    </sheetView>
  </sheetViews>
  <sheetFormatPr defaultRowHeight="21.5" x14ac:dyDescent="0.75"/>
  <cols>
    <col min="1" max="1" width="24" customWidth="1"/>
  </cols>
  <sheetData>
    <row r="1" spans="1:4" x14ac:dyDescent="0.75">
      <c r="A1" t="s">
        <v>151</v>
      </c>
      <c r="B1" t="s">
        <v>150</v>
      </c>
      <c r="C1" t="s">
        <v>152</v>
      </c>
      <c r="D1" t="s">
        <v>153</v>
      </c>
    </row>
    <row r="2" spans="1:4" x14ac:dyDescent="0.75">
      <c r="A2" t="s">
        <v>58</v>
      </c>
      <c r="B2">
        <v>2558</v>
      </c>
      <c r="C2" s="8">
        <v>1179</v>
      </c>
      <c r="D2" s="61">
        <v>12611.37</v>
      </c>
    </row>
    <row r="3" spans="1:4" x14ac:dyDescent="0.75">
      <c r="A3" t="s">
        <v>62</v>
      </c>
      <c r="B3">
        <v>2558</v>
      </c>
      <c r="C3" s="4">
        <v>147</v>
      </c>
      <c r="D3" s="59">
        <v>1129.72</v>
      </c>
    </row>
    <row r="4" spans="1:4" x14ac:dyDescent="0.75">
      <c r="A4" t="s">
        <v>99</v>
      </c>
      <c r="B4">
        <v>2558</v>
      </c>
      <c r="C4" s="4">
        <v>43</v>
      </c>
      <c r="D4" s="59">
        <v>966</v>
      </c>
    </row>
    <row r="5" spans="1:4" x14ac:dyDescent="0.75">
      <c r="A5" t="s">
        <v>72</v>
      </c>
      <c r="B5">
        <v>2558</v>
      </c>
      <c r="C5" s="4">
        <v>61</v>
      </c>
      <c r="D5" s="59">
        <v>555.79999999999995</v>
      </c>
    </row>
    <row r="6" spans="1:4" x14ac:dyDescent="0.75">
      <c r="A6" t="s">
        <v>85</v>
      </c>
      <c r="B6">
        <v>2558</v>
      </c>
      <c r="C6" s="4">
        <v>115</v>
      </c>
      <c r="D6" s="59">
        <v>1568</v>
      </c>
    </row>
    <row r="7" spans="1:4" x14ac:dyDescent="0.75">
      <c r="A7" t="s">
        <v>66</v>
      </c>
      <c r="B7">
        <v>2558</v>
      </c>
      <c r="C7" s="4">
        <v>140</v>
      </c>
      <c r="D7" s="59">
        <v>1004</v>
      </c>
    </row>
    <row r="8" spans="1:4" x14ac:dyDescent="0.75">
      <c r="A8" t="s">
        <v>59</v>
      </c>
      <c r="B8">
        <v>2558</v>
      </c>
      <c r="C8" s="4">
        <v>471</v>
      </c>
      <c r="D8" s="59">
        <v>3839.5</v>
      </c>
    </row>
    <row r="9" spans="1:4" x14ac:dyDescent="0.75">
      <c r="A9" t="s">
        <v>117</v>
      </c>
      <c r="B9">
        <v>2558</v>
      </c>
      <c r="C9" s="4">
        <v>3</v>
      </c>
      <c r="D9" s="59">
        <v>15.86</v>
      </c>
    </row>
    <row r="10" spans="1:4" x14ac:dyDescent="0.75">
      <c r="A10" t="s">
        <v>97</v>
      </c>
      <c r="B10">
        <v>2558</v>
      </c>
      <c r="C10" s="4">
        <v>184</v>
      </c>
      <c r="D10" s="59">
        <v>2148</v>
      </c>
    </row>
    <row r="11" spans="1:4" x14ac:dyDescent="0.75">
      <c r="A11" t="s">
        <v>92</v>
      </c>
      <c r="B11">
        <v>2558</v>
      </c>
      <c r="C11" s="4">
        <v>43</v>
      </c>
      <c r="D11" s="59">
        <v>298</v>
      </c>
    </row>
    <row r="12" spans="1:4" x14ac:dyDescent="0.75">
      <c r="A12" t="s">
        <v>71</v>
      </c>
      <c r="B12">
        <v>2558</v>
      </c>
      <c r="C12" s="4">
        <v>43</v>
      </c>
      <c r="D12" s="59">
        <v>811</v>
      </c>
    </row>
    <row r="13" spans="1:4" x14ac:dyDescent="0.75">
      <c r="A13" t="s">
        <v>83</v>
      </c>
      <c r="B13">
        <v>2558</v>
      </c>
      <c r="C13" s="4">
        <v>93</v>
      </c>
      <c r="D13" s="59">
        <v>1548</v>
      </c>
    </row>
    <row r="14" spans="1:4" x14ac:dyDescent="0.75">
      <c r="A14" t="s">
        <v>108</v>
      </c>
      <c r="B14">
        <v>2558</v>
      </c>
      <c r="C14" s="4">
        <v>2</v>
      </c>
      <c r="D14" s="59">
        <v>7</v>
      </c>
    </row>
    <row r="15" spans="1:4" x14ac:dyDescent="0.75">
      <c r="A15" t="s">
        <v>103</v>
      </c>
      <c r="B15">
        <v>2558</v>
      </c>
      <c r="C15" s="4">
        <v>6</v>
      </c>
      <c r="D15" s="59">
        <v>1351</v>
      </c>
    </row>
    <row r="16" spans="1:4" x14ac:dyDescent="0.75">
      <c r="A16" t="s">
        <v>109</v>
      </c>
      <c r="B16">
        <v>2558</v>
      </c>
      <c r="C16" s="4">
        <v>39</v>
      </c>
      <c r="D16" s="59">
        <v>634</v>
      </c>
    </row>
    <row r="17" spans="1:4" x14ac:dyDescent="0.75">
      <c r="A17" t="s">
        <v>81</v>
      </c>
      <c r="B17">
        <v>2558</v>
      </c>
      <c r="C17" s="6">
        <v>155</v>
      </c>
      <c r="D17" s="60">
        <v>3211</v>
      </c>
    </row>
    <row r="18" spans="1:4" x14ac:dyDescent="0.75">
      <c r="A18" t="s">
        <v>112</v>
      </c>
      <c r="B18">
        <v>2558</v>
      </c>
      <c r="C18" s="8">
        <v>11</v>
      </c>
      <c r="D18" s="61">
        <v>332.66</v>
      </c>
    </row>
    <row r="19" spans="1:4" x14ac:dyDescent="0.75">
      <c r="A19" t="s">
        <v>118</v>
      </c>
      <c r="B19">
        <v>2558</v>
      </c>
      <c r="C19" s="8">
        <v>8</v>
      </c>
      <c r="D19" s="61">
        <v>122</v>
      </c>
    </row>
    <row r="20" spans="1:4" x14ac:dyDescent="0.75">
      <c r="A20" t="s">
        <v>106</v>
      </c>
      <c r="B20">
        <v>2558</v>
      </c>
      <c r="C20" s="8">
        <v>2</v>
      </c>
      <c r="D20" s="61">
        <v>18</v>
      </c>
    </row>
    <row r="21" spans="1:4" x14ac:dyDescent="0.75">
      <c r="A21" t="s">
        <v>75</v>
      </c>
      <c r="B21">
        <v>2558</v>
      </c>
      <c r="C21" s="8">
        <v>258</v>
      </c>
      <c r="D21" s="61">
        <v>3869</v>
      </c>
    </row>
    <row r="22" spans="1:4" x14ac:dyDescent="0.75">
      <c r="A22" t="s">
        <v>110</v>
      </c>
      <c r="B22">
        <v>2558</v>
      </c>
      <c r="C22" s="8">
        <v>4</v>
      </c>
      <c r="D22" s="61">
        <v>173</v>
      </c>
    </row>
    <row r="23" spans="1:4" x14ac:dyDescent="0.75">
      <c r="A23" t="s">
        <v>91</v>
      </c>
      <c r="B23">
        <v>2558</v>
      </c>
      <c r="C23" s="8">
        <v>60</v>
      </c>
      <c r="D23" s="61">
        <v>615.5</v>
      </c>
    </row>
    <row r="24" spans="1:4" x14ac:dyDescent="0.75">
      <c r="A24" t="s">
        <v>78</v>
      </c>
      <c r="B24">
        <v>2558</v>
      </c>
      <c r="C24" s="8">
        <v>13</v>
      </c>
      <c r="D24" s="61">
        <v>532</v>
      </c>
    </row>
    <row r="25" spans="1:4" x14ac:dyDescent="0.75">
      <c r="A25" t="s">
        <v>116</v>
      </c>
      <c r="B25">
        <v>2558</v>
      </c>
      <c r="C25" s="8">
        <v>23</v>
      </c>
      <c r="D25" s="61">
        <v>857</v>
      </c>
    </row>
    <row r="26" spans="1:4" x14ac:dyDescent="0.75">
      <c r="A26" t="s">
        <v>76</v>
      </c>
      <c r="B26">
        <v>2558</v>
      </c>
      <c r="C26" s="8">
        <v>17</v>
      </c>
      <c r="D26" s="61">
        <v>439</v>
      </c>
    </row>
    <row r="27" spans="1:4" x14ac:dyDescent="0.75">
      <c r="A27" t="s">
        <v>119</v>
      </c>
      <c r="B27">
        <v>2558</v>
      </c>
      <c r="C27" s="8">
        <v>11</v>
      </c>
      <c r="D27" s="61">
        <v>833.5</v>
      </c>
    </row>
    <row r="28" spans="1:4" x14ac:dyDescent="0.75">
      <c r="A28" t="s">
        <v>68</v>
      </c>
      <c r="B28">
        <v>2558</v>
      </c>
      <c r="C28" s="8">
        <v>78</v>
      </c>
      <c r="D28" s="61">
        <v>934</v>
      </c>
    </row>
    <row r="29" spans="1:4" x14ac:dyDescent="0.75">
      <c r="A29" t="s">
        <v>135</v>
      </c>
      <c r="B29">
        <v>2558</v>
      </c>
      <c r="C29" s="8">
        <v>26</v>
      </c>
      <c r="D29" s="61">
        <v>1217</v>
      </c>
    </row>
    <row r="30" spans="1:4" x14ac:dyDescent="0.75">
      <c r="A30" t="s">
        <v>79</v>
      </c>
      <c r="B30">
        <v>2558</v>
      </c>
      <c r="C30" s="8">
        <v>17</v>
      </c>
      <c r="D30" s="61">
        <v>91</v>
      </c>
    </row>
    <row r="31" spans="1:4" x14ac:dyDescent="0.75">
      <c r="A31" t="s">
        <v>111</v>
      </c>
      <c r="B31">
        <v>2558</v>
      </c>
      <c r="C31" s="8">
        <v>59</v>
      </c>
      <c r="D31" s="61">
        <v>1002</v>
      </c>
    </row>
    <row r="32" spans="1:4" x14ac:dyDescent="0.75">
      <c r="A32" t="s">
        <v>104</v>
      </c>
      <c r="B32">
        <v>2558</v>
      </c>
      <c r="C32" s="8">
        <v>1</v>
      </c>
      <c r="D32" s="61">
        <v>80</v>
      </c>
    </row>
    <row r="33" spans="1:4" x14ac:dyDescent="0.75">
      <c r="A33" t="s">
        <v>121</v>
      </c>
      <c r="B33">
        <v>2558</v>
      </c>
      <c r="C33" s="8">
        <v>0</v>
      </c>
      <c r="D33" s="61">
        <v>0</v>
      </c>
    </row>
    <row r="34" spans="1:4" x14ac:dyDescent="0.75">
      <c r="A34" t="s">
        <v>64</v>
      </c>
      <c r="B34">
        <v>2558</v>
      </c>
      <c r="C34" s="8">
        <v>62</v>
      </c>
      <c r="D34" s="61">
        <v>428.75</v>
      </c>
    </row>
    <row r="35" spans="1:4" x14ac:dyDescent="0.75">
      <c r="A35" t="s">
        <v>114</v>
      </c>
      <c r="B35">
        <v>2558</v>
      </c>
      <c r="C35" s="8">
        <v>0</v>
      </c>
      <c r="D35" s="61">
        <v>0</v>
      </c>
    </row>
    <row r="36" spans="1:4" x14ac:dyDescent="0.75">
      <c r="A36" t="s">
        <v>124</v>
      </c>
      <c r="B36">
        <v>2558</v>
      </c>
      <c r="C36" s="8">
        <v>3</v>
      </c>
      <c r="D36" s="61">
        <v>42</v>
      </c>
    </row>
    <row r="37" spans="1:4" x14ac:dyDescent="0.75">
      <c r="A37" t="s">
        <v>70</v>
      </c>
      <c r="B37">
        <v>2558</v>
      </c>
      <c r="C37" s="8">
        <v>130</v>
      </c>
      <c r="D37" s="61">
        <v>1205</v>
      </c>
    </row>
    <row r="38" spans="1:4" x14ac:dyDescent="0.75">
      <c r="A38" t="s">
        <v>125</v>
      </c>
      <c r="B38">
        <v>2558</v>
      </c>
      <c r="C38" s="8">
        <v>0</v>
      </c>
      <c r="D38" s="61">
        <v>0</v>
      </c>
    </row>
    <row r="39" spans="1:4" x14ac:dyDescent="0.75">
      <c r="A39" t="s">
        <v>87</v>
      </c>
      <c r="B39">
        <v>2558</v>
      </c>
      <c r="C39" s="8">
        <v>8</v>
      </c>
      <c r="D39" s="61">
        <v>41</v>
      </c>
    </row>
    <row r="40" spans="1:4" x14ac:dyDescent="0.75">
      <c r="A40" t="s">
        <v>93</v>
      </c>
      <c r="B40">
        <v>2558</v>
      </c>
      <c r="C40" s="8">
        <v>48</v>
      </c>
      <c r="D40" s="61">
        <v>284.23</v>
      </c>
    </row>
    <row r="41" spans="1:4" x14ac:dyDescent="0.75">
      <c r="A41" t="s">
        <v>94</v>
      </c>
      <c r="B41">
        <v>2558</v>
      </c>
      <c r="C41" s="8">
        <v>14</v>
      </c>
      <c r="D41" s="61">
        <v>142</v>
      </c>
    </row>
    <row r="42" spans="1:4" x14ac:dyDescent="0.75">
      <c r="A42" t="s">
        <v>120</v>
      </c>
      <c r="B42">
        <v>2558</v>
      </c>
      <c r="C42" s="8">
        <v>0</v>
      </c>
      <c r="D42" s="61">
        <v>0</v>
      </c>
    </row>
    <row r="43" spans="1:4" x14ac:dyDescent="0.75">
      <c r="A43" t="s">
        <v>88</v>
      </c>
      <c r="B43">
        <v>2558</v>
      </c>
      <c r="C43" s="8">
        <v>27</v>
      </c>
      <c r="D43" s="61">
        <v>421</v>
      </c>
    </row>
    <row r="44" spans="1:4" x14ac:dyDescent="0.75">
      <c r="A44" t="s">
        <v>115</v>
      </c>
      <c r="B44">
        <v>2558</v>
      </c>
      <c r="C44" s="8">
        <v>2</v>
      </c>
      <c r="D44" s="61">
        <v>308</v>
      </c>
    </row>
    <row r="45" spans="1:4" x14ac:dyDescent="0.75">
      <c r="A45" t="s">
        <v>107</v>
      </c>
      <c r="B45">
        <v>2558</v>
      </c>
      <c r="C45" s="8">
        <v>3</v>
      </c>
      <c r="D45" s="61">
        <v>96</v>
      </c>
    </row>
    <row r="46" spans="1:4" x14ac:dyDescent="0.75">
      <c r="A46" t="s">
        <v>98</v>
      </c>
      <c r="B46">
        <v>2558</v>
      </c>
      <c r="C46" s="8">
        <v>21</v>
      </c>
      <c r="D46" s="61">
        <v>186</v>
      </c>
    </row>
    <row r="47" spans="1:4" x14ac:dyDescent="0.75">
      <c r="A47" t="s">
        <v>101</v>
      </c>
      <c r="B47">
        <v>2558</v>
      </c>
      <c r="C47" s="8">
        <v>3</v>
      </c>
      <c r="D47" s="61">
        <v>125</v>
      </c>
    </row>
    <row r="48" spans="1:4" x14ac:dyDescent="0.75">
      <c r="A48" t="s">
        <v>60</v>
      </c>
      <c r="B48">
        <v>2558</v>
      </c>
      <c r="C48" s="8">
        <v>399</v>
      </c>
      <c r="D48" s="61">
        <v>2958</v>
      </c>
    </row>
    <row r="49" spans="1:4" x14ac:dyDescent="0.75">
      <c r="A49" t="s">
        <v>61</v>
      </c>
      <c r="B49">
        <v>2558</v>
      </c>
      <c r="C49" s="8">
        <v>297</v>
      </c>
      <c r="D49" s="61">
        <v>3552</v>
      </c>
    </row>
    <row r="50" spans="1:4" x14ac:dyDescent="0.75">
      <c r="A50" t="s">
        <v>82</v>
      </c>
      <c r="B50">
        <v>2558</v>
      </c>
      <c r="C50" s="8">
        <v>41</v>
      </c>
      <c r="D50" s="61">
        <v>329.57</v>
      </c>
    </row>
    <row r="51" spans="1:4" x14ac:dyDescent="0.75">
      <c r="A51" t="s">
        <v>90</v>
      </c>
      <c r="B51">
        <v>2558</v>
      </c>
      <c r="C51" s="8">
        <v>96</v>
      </c>
      <c r="D51" s="61">
        <v>466</v>
      </c>
    </row>
    <row r="52" spans="1:4" x14ac:dyDescent="0.75">
      <c r="A52" t="s">
        <v>122</v>
      </c>
      <c r="B52">
        <v>2558</v>
      </c>
      <c r="C52" s="8">
        <v>3</v>
      </c>
      <c r="D52" s="61">
        <v>63</v>
      </c>
    </row>
    <row r="53" spans="1:4" x14ac:dyDescent="0.75">
      <c r="A53" t="s">
        <v>123</v>
      </c>
      <c r="B53">
        <v>2558</v>
      </c>
      <c r="C53" s="8">
        <v>0</v>
      </c>
      <c r="D53" s="61">
        <v>0</v>
      </c>
    </row>
    <row r="54" spans="1:4" x14ac:dyDescent="0.75">
      <c r="A54" t="s">
        <v>105</v>
      </c>
      <c r="B54">
        <v>2558</v>
      </c>
      <c r="C54" s="8">
        <v>10</v>
      </c>
      <c r="D54" s="61">
        <v>263</v>
      </c>
    </row>
    <row r="55" spans="1:4" x14ac:dyDescent="0.75">
      <c r="A55" t="s">
        <v>102</v>
      </c>
      <c r="B55">
        <v>2558</v>
      </c>
      <c r="C55" s="8">
        <v>8</v>
      </c>
      <c r="D55" s="61">
        <v>47</v>
      </c>
    </row>
    <row r="56" spans="1:4" x14ac:dyDescent="0.75">
      <c r="A56" t="s">
        <v>74</v>
      </c>
      <c r="B56">
        <v>2558</v>
      </c>
      <c r="C56" s="8">
        <v>48</v>
      </c>
      <c r="D56" s="61">
        <v>685</v>
      </c>
    </row>
    <row r="57" spans="1:4" x14ac:dyDescent="0.75">
      <c r="A57" t="s">
        <v>100</v>
      </c>
      <c r="B57">
        <v>2558</v>
      </c>
      <c r="C57" s="8">
        <v>7</v>
      </c>
      <c r="D57" s="61">
        <v>41</v>
      </c>
    </row>
    <row r="58" spans="1:4" x14ac:dyDescent="0.75">
      <c r="A58" t="s">
        <v>113</v>
      </c>
      <c r="B58">
        <v>2558</v>
      </c>
      <c r="C58" s="8">
        <v>3</v>
      </c>
      <c r="D58" s="61">
        <v>27.38</v>
      </c>
    </row>
    <row r="59" spans="1:4" x14ac:dyDescent="0.75">
      <c r="A59" t="s">
        <v>80</v>
      </c>
      <c r="B59">
        <v>2558</v>
      </c>
      <c r="C59" s="8">
        <v>30</v>
      </c>
      <c r="D59" s="61">
        <v>298</v>
      </c>
    </row>
    <row r="60" spans="1:4" x14ac:dyDescent="0.75">
      <c r="A60" t="s">
        <v>89</v>
      </c>
      <c r="B60">
        <v>2558</v>
      </c>
      <c r="C60" s="8">
        <v>35</v>
      </c>
      <c r="D60" s="61">
        <v>624</v>
      </c>
    </row>
    <row r="61" spans="1:4" x14ac:dyDescent="0.75">
      <c r="A61" t="s">
        <v>86</v>
      </c>
      <c r="B61">
        <v>2558</v>
      </c>
      <c r="C61" s="8">
        <v>22</v>
      </c>
      <c r="D61" s="61">
        <v>203</v>
      </c>
    </row>
    <row r="62" spans="1:4" x14ac:dyDescent="0.75">
      <c r="A62" t="s">
        <v>95</v>
      </c>
      <c r="B62">
        <v>2558</v>
      </c>
      <c r="C62" s="8">
        <v>26</v>
      </c>
      <c r="D62" s="61">
        <v>170</v>
      </c>
    </row>
    <row r="63" spans="1:4" x14ac:dyDescent="0.75">
      <c r="A63" t="s">
        <v>84</v>
      </c>
      <c r="B63">
        <v>2558</v>
      </c>
      <c r="C63" s="8">
        <v>139</v>
      </c>
      <c r="D63" s="61">
        <v>2270</v>
      </c>
    </row>
    <row r="64" spans="1:4" x14ac:dyDescent="0.75">
      <c r="A64" t="s">
        <v>73</v>
      </c>
      <c r="B64">
        <v>2558</v>
      </c>
      <c r="C64" s="8">
        <v>43</v>
      </c>
      <c r="D64" s="61">
        <v>219</v>
      </c>
    </row>
    <row r="65" spans="1:4" x14ac:dyDescent="0.75">
      <c r="A65" t="s">
        <v>77</v>
      </c>
      <c r="B65">
        <v>2558</v>
      </c>
      <c r="C65" s="8">
        <v>71</v>
      </c>
      <c r="D65" s="61">
        <v>1621</v>
      </c>
    </row>
    <row r="66" spans="1:4" x14ac:dyDescent="0.75">
      <c r="A66" t="s">
        <v>96</v>
      </c>
      <c r="B66">
        <v>2558</v>
      </c>
      <c r="C66" s="65">
        <v>71</v>
      </c>
      <c r="D66" s="66">
        <v>523.27</v>
      </c>
    </row>
    <row r="67" spans="1:4" x14ac:dyDescent="0.75">
      <c r="A67" t="s">
        <v>58</v>
      </c>
      <c r="B67">
        <v>2559</v>
      </c>
      <c r="C67" s="8">
        <v>1659</v>
      </c>
      <c r="D67" s="61">
        <v>23861.09</v>
      </c>
    </row>
    <row r="68" spans="1:4" x14ac:dyDescent="0.75">
      <c r="A68" t="s">
        <v>62</v>
      </c>
      <c r="B68">
        <v>2559</v>
      </c>
      <c r="C68" s="4">
        <v>202</v>
      </c>
      <c r="D68" s="59">
        <v>3157.29</v>
      </c>
    </row>
    <row r="69" spans="1:4" x14ac:dyDescent="0.75">
      <c r="A69" t="s">
        <v>99</v>
      </c>
      <c r="B69">
        <v>2559</v>
      </c>
      <c r="C69" s="4">
        <v>44</v>
      </c>
      <c r="D69" s="59">
        <v>976</v>
      </c>
    </row>
    <row r="70" spans="1:4" x14ac:dyDescent="0.75">
      <c r="A70" t="s">
        <v>72</v>
      </c>
      <c r="B70">
        <v>2559</v>
      </c>
      <c r="C70" s="4">
        <v>147</v>
      </c>
      <c r="D70" s="59">
        <v>3877.5</v>
      </c>
    </row>
    <row r="71" spans="1:4" x14ac:dyDescent="0.75">
      <c r="A71" t="s">
        <v>85</v>
      </c>
      <c r="B71">
        <v>2559</v>
      </c>
      <c r="C71" s="4">
        <v>271</v>
      </c>
      <c r="D71" s="59">
        <v>8212</v>
      </c>
    </row>
    <row r="72" spans="1:4" x14ac:dyDescent="0.75">
      <c r="A72" t="s">
        <v>66</v>
      </c>
      <c r="B72">
        <v>2559</v>
      </c>
      <c r="C72" s="4">
        <v>140</v>
      </c>
      <c r="D72" s="59">
        <v>2201</v>
      </c>
    </row>
    <row r="73" spans="1:4" x14ac:dyDescent="0.75">
      <c r="A73" t="s">
        <v>59</v>
      </c>
      <c r="B73">
        <v>2559</v>
      </c>
      <c r="C73" s="4">
        <v>391</v>
      </c>
      <c r="D73" s="59">
        <v>4800</v>
      </c>
    </row>
    <row r="74" spans="1:4" x14ac:dyDescent="0.75">
      <c r="A74" t="s">
        <v>117</v>
      </c>
      <c r="B74">
        <v>2559</v>
      </c>
      <c r="C74" s="4">
        <v>6</v>
      </c>
      <c r="D74" s="59">
        <v>46.2</v>
      </c>
    </row>
    <row r="75" spans="1:4" x14ac:dyDescent="0.75">
      <c r="A75" t="s">
        <v>97</v>
      </c>
      <c r="B75">
        <v>2559</v>
      </c>
      <c r="C75" s="4">
        <v>222</v>
      </c>
      <c r="D75" s="59">
        <v>2248</v>
      </c>
    </row>
    <row r="76" spans="1:4" x14ac:dyDescent="0.75">
      <c r="A76" t="s">
        <v>92</v>
      </c>
      <c r="B76">
        <v>2559</v>
      </c>
      <c r="C76" s="4">
        <v>86</v>
      </c>
      <c r="D76" s="59">
        <v>697</v>
      </c>
    </row>
    <row r="77" spans="1:4" x14ac:dyDescent="0.75">
      <c r="A77" t="s">
        <v>71</v>
      </c>
      <c r="B77">
        <v>2559</v>
      </c>
      <c r="C77" s="4">
        <v>51</v>
      </c>
      <c r="D77" s="59">
        <v>739</v>
      </c>
    </row>
    <row r="78" spans="1:4" x14ac:dyDescent="0.75">
      <c r="A78" t="s">
        <v>83</v>
      </c>
      <c r="B78">
        <v>2559</v>
      </c>
      <c r="C78" s="4">
        <v>176</v>
      </c>
      <c r="D78" s="59">
        <v>2949</v>
      </c>
    </row>
    <row r="79" spans="1:4" x14ac:dyDescent="0.75">
      <c r="A79" t="s">
        <v>108</v>
      </c>
      <c r="B79">
        <v>2559</v>
      </c>
      <c r="C79" s="4">
        <v>22</v>
      </c>
      <c r="D79" s="59">
        <v>519</v>
      </c>
    </row>
    <row r="80" spans="1:4" x14ac:dyDescent="0.75">
      <c r="A80" t="s">
        <v>103</v>
      </c>
      <c r="B80">
        <v>2559</v>
      </c>
      <c r="C80" s="4">
        <v>1</v>
      </c>
      <c r="D80" s="59">
        <v>663</v>
      </c>
    </row>
    <row r="81" spans="1:4" x14ac:dyDescent="0.75">
      <c r="A81" t="s">
        <v>109</v>
      </c>
      <c r="B81">
        <v>2559</v>
      </c>
      <c r="C81" s="4">
        <v>43</v>
      </c>
      <c r="D81" s="59">
        <v>1698</v>
      </c>
    </row>
    <row r="82" spans="1:4" x14ac:dyDescent="0.75">
      <c r="A82" t="s">
        <v>81</v>
      </c>
      <c r="B82">
        <v>2559</v>
      </c>
      <c r="C82" s="6">
        <v>161</v>
      </c>
      <c r="D82" s="60">
        <v>3039</v>
      </c>
    </row>
    <row r="83" spans="1:4" x14ac:dyDescent="0.75">
      <c r="A83" t="s">
        <v>112</v>
      </c>
      <c r="B83">
        <v>2559</v>
      </c>
      <c r="C83" s="8">
        <v>18</v>
      </c>
      <c r="D83" s="61">
        <v>758</v>
      </c>
    </row>
    <row r="84" spans="1:4" x14ac:dyDescent="0.75">
      <c r="A84" t="s">
        <v>118</v>
      </c>
      <c r="B84">
        <v>2559</v>
      </c>
      <c r="C84" s="8">
        <v>20</v>
      </c>
      <c r="D84" s="61">
        <v>400.75</v>
      </c>
    </row>
    <row r="85" spans="1:4" x14ac:dyDescent="0.75">
      <c r="A85" t="s">
        <v>106</v>
      </c>
      <c r="B85">
        <v>2559</v>
      </c>
      <c r="C85" s="8">
        <v>9</v>
      </c>
      <c r="D85" s="61">
        <v>164</v>
      </c>
    </row>
    <row r="86" spans="1:4" x14ac:dyDescent="0.75">
      <c r="A86" t="s">
        <v>75</v>
      </c>
      <c r="B86">
        <v>2559</v>
      </c>
      <c r="C86" s="8">
        <v>373</v>
      </c>
      <c r="D86" s="61">
        <v>8899</v>
      </c>
    </row>
    <row r="87" spans="1:4" x14ac:dyDescent="0.75">
      <c r="A87" t="s">
        <v>110</v>
      </c>
      <c r="B87">
        <v>2559</v>
      </c>
      <c r="C87" s="8">
        <v>9</v>
      </c>
      <c r="D87" s="61">
        <v>273</v>
      </c>
    </row>
    <row r="88" spans="1:4" x14ac:dyDescent="0.75">
      <c r="A88" t="s">
        <v>91</v>
      </c>
      <c r="B88">
        <v>2559</v>
      </c>
      <c r="C88" s="8">
        <v>79</v>
      </c>
      <c r="D88" s="61">
        <v>459.01</v>
      </c>
    </row>
    <row r="89" spans="1:4" x14ac:dyDescent="0.75">
      <c r="A89" t="s">
        <v>78</v>
      </c>
      <c r="B89">
        <v>2559</v>
      </c>
      <c r="C89" s="8">
        <v>45</v>
      </c>
      <c r="D89" s="61">
        <v>2566</v>
      </c>
    </row>
    <row r="90" spans="1:4" x14ac:dyDescent="0.75">
      <c r="A90" t="s">
        <v>116</v>
      </c>
      <c r="B90">
        <v>2559</v>
      </c>
      <c r="C90" s="8">
        <v>113</v>
      </c>
      <c r="D90" s="61">
        <v>11505</v>
      </c>
    </row>
    <row r="91" spans="1:4" x14ac:dyDescent="0.75">
      <c r="A91" t="s">
        <v>76</v>
      </c>
      <c r="B91">
        <v>2559</v>
      </c>
      <c r="C91" s="8">
        <v>3</v>
      </c>
      <c r="D91" s="61">
        <v>50</v>
      </c>
    </row>
    <row r="92" spans="1:4" x14ac:dyDescent="0.75">
      <c r="A92" t="s">
        <v>119</v>
      </c>
      <c r="B92">
        <v>2559</v>
      </c>
      <c r="C92" s="8">
        <v>15</v>
      </c>
      <c r="D92" s="61">
        <v>3273.83</v>
      </c>
    </row>
    <row r="93" spans="1:4" x14ac:dyDescent="0.75">
      <c r="A93" t="s">
        <v>68</v>
      </c>
      <c r="B93">
        <v>2559</v>
      </c>
      <c r="C93" s="8">
        <v>149</v>
      </c>
      <c r="D93" s="61">
        <v>1815</v>
      </c>
    </row>
    <row r="94" spans="1:4" x14ac:dyDescent="0.75">
      <c r="A94" t="s">
        <v>135</v>
      </c>
      <c r="B94">
        <v>2559</v>
      </c>
      <c r="C94" s="8">
        <v>7</v>
      </c>
      <c r="D94" s="61">
        <v>103</v>
      </c>
    </row>
    <row r="95" spans="1:4" x14ac:dyDescent="0.75">
      <c r="A95" t="s">
        <v>79</v>
      </c>
      <c r="B95">
        <v>2559</v>
      </c>
      <c r="C95" s="8">
        <v>27</v>
      </c>
      <c r="D95" s="61">
        <v>221</v>
      </c>
    </row>
    <row r="96" spans="1:4" x14ac:dyDescent="0.75">
      <c r="A96" t="s">
        <v>111</v>
      </c>
      <c r="B96">
        <v>2559</v>
      </c>
      <c r="C96" s="8">
        <v>59</v>
      </c>
      <c r="D96" s="61">
        <v>2303</v>
      </c>
    </row>
    <row r="97" spans="1:4" x14ac:dyDescent="0.75">
      <c r="A97" t="s">
        <v>104</v>
      </c>
      <c r="B97">
        <v>2559</v>
      </c>
      <c r="C97" s="8">
        <v>23</v>
      </c>
      <c r="D97" s="61">
        <v>997</v>
      </c>
    </row>
    <row r="98" spans="1:4" x14ac:dyDescent="0.75">
      <c r="A98" t="s">
        <v>121</v>
      </c>
      <c r="B98">
        <v>2559</v>
      </c>
      <c r="C98" s="8">
        <v>0</v>
      </c>
      <c r="D98" s="61">
        <v>0</v>
      </c>
    </row>
    <row r="99" spans="1:4" x14ac:dyDescent="0.75">
      <c r="A99" t="s">
        <v>64</v>
      </c>
      <c r="B99">
        <v>2559</v>
      </c>
      <c r="C99" s="8">
        <v>131</v>
      </c>
      <c r="D99" s="61">
        <v>1400</v>
      </c>
    </row>
    <row r="100" spans="1:4" x14ac:dyDescent="0.75">
      <c r="A100" t="s">
        <v>114</v>
      </c>
      <c r="B100">
        <v>2559</v>
      </c>
      <c r="C100" s="8">
        <v>2</v>
      </c>
      <c r="D100" s="61">
        <v>224.92</v>
      </c>
    </row>
    <row r="101" spans="1:4" x14ac:dyDescent="0.75">
      <c r="A101" t="s">
        <v>124</v>
      </c>
      <c r="B101">
        <v>2559</v>
      </c>
      <c r="C101" s="8">
        <v>12</v>
      </c>
      <c r="D101" s="61">
        <v>932.15</v>
      </c>
    </row>
    <row r="102" spans="1:4" x14ac:dyDescent="0.75">
      <c r="A102" t="s">
        <v>70</v>
      </c>
      <c r="B102">
        <v>2559</v>
      </c>
      <c r="C102" s="8">
        <v>279</v>
      </c>
      <c r="D102" s="61">
        <v>3923.56</v>
      </c>
    </row>
    <row r="103" spans="1:4" x14ac:dyDescent="0.75">
      <c r="A103" t="s">
        <v>125</v>
      </c>
      <c r="B103">
        <v>2559</v>
      </c>
      <c r="C103" s="8">
        <v>1</v>
      </c>
      <c r="D103" s="61">
        <v>4.8099999999999996</v>
      </c>
    </row>
    <row r="104" spans="1:4" x14ac:dyDescent="0.75">
      <c r="A104" t="s">
        <v>87</v>
      </c>
      <c r="B104">
        <v>2559</v>
      </c>
      <c r="C104" s="8">
        <v>0</v>
      </c>
      <c r="D104" s="61">
        <v>0</v>
      </c>
    </row>
    <row r="105" spans="1:4" x14ac:dyDescent="0.75">
      <c r="A105" t="s">
        <v>93</v>
      </c>
      <c r="B105">
        <v>2559</v>
      </c>
      <c r="C105" s="8">
        <v>38</v>
      </c>
      <c r="D105" s="61">
        <v>214.99</v>
      </c>
    </row>
    <row r="106" spans="1:4" x14ac:dyDescent="0.75">
      <c r="A106" t="s">
        <v>94</v>
      </c>
      <c r="B106">
        <v>2559</v>
      </c>
      <c r="C106" s="8">
        <v>21</v>
      </c>
      <c r="D106" s="61">
        <v>210</v>
      </c>
    </row>
    <row r="107" spans="1:4" x14ac:dyDescent="0.75">
      <c r="A107" t="s">
        <v>120</v>
      </c>
      <c r="B107">
        <v>2559</v>
      </c>
      <c r="C107" s="8">
        <v>1</v>
      </c>
      <c r="D107" s="61">
        <v>40</v>
      </c>
    </row>
    <row r="108" spans="1:4" x14ac:dyDescent="0.75">
      <c r="A108" t="s">
        <v>88</v>
      </c>
      <c r="B108">
        <v>2559</v>
      </c>
      <c r="C108" s="8">
        <v>36</v>
      </c>
      <c r="D108" s="61">
        <v>480</v>
      </c>
    </row>
    <row r="109" spans="1:4" x14ac:dyDescent="0.75">
      <c r="A109" t="s">
        <v>115</v>
      </c>
      <c r="B109">
        <v>2559</v>
      </c>
      <c r="C109" s="8">
        <v>1</v>
      </c>
      <c r="D109" s="61">
        <v>15</v>
      </c>
    </row>
    <row r="110" spans="1:4" x14ac:dyDescent="0.75">
      <c r="A110" t="s">
        <v>107</v>
      </c>
      <c r="B110">
        <v>2559</v>
      </c>
      <c r="C110" s="8">
        <v>6</v>
      </c>
      <c r="D110" s="61">
        <v>235</v>
      </c>
    </row>
    <row r="111" spans="1:4" x14ac:dyDescent="0.75">
      <c r="A111" t="s">
        <v>98</v>
      </c>
      <c r="B111">
        <v>2559</v>
      </c>
      <c r="C111" s="8">
        <v>50</v>
      </c>
      <c r="D111" s="61">
        <v>415</v>
      </c>
    </row>
    <row r="112" spans="1:4" x14ac:dyDescent="0.75">
      <c r="A112" t="s">
        <v>101</v>
      </c>
      <c r="B112">
        <v>2559</v>
      </c>
      <c r="C112" s="8">
        <v>6</v>
      </c>
      <c r="D112" s="61">
        <v>81</v>
      </c>
    </row>
    <row r="113" spans="1:4" x14ac:dyDescent="0.75">
      <c r="A113" t="s">
        <v>60</v>
      </c>
      <c r="B113">
        <v>2559</v>
      </c>
      <c r="C113" s="8">
        <v>469</v>
      </c>
      <c r="D113" s="61">
        <v>3454</v>
      </c>
    </row>
    <row r="114" spans="1:4" x14ac:dyDescent="0.75">
      <c r="A114" t="s">
        <v>61</v>
      </c>
      <c r="B114">
        <v>2559</v>
      </c>
      <c r="C114" s="8">
        <v>322</v>
      </c>
      <c r="D114" s="61">
        <v>5257</v>
      </c>
    </row>
    <row r="115" spans="1:4" x14ac:dyDescent="0.75">
      <c r="A115" t="s">
        <v>82</v>
      </c>
      <c r="B115">
        <v>2559</v>
      </c>
      <c r="C115" s="8">
        <v>71</v>
      </c>
      <c r="D115" s="61">
        <v>652.49</v>
      </c>
    </row>
    <row r="116" spans="1:4" x14ac:dyDescent="0.75">
      <c r="A116" t="s">
        <v>90</v>
      </c>
      <c r="B116">
        <v>2559</v>
      </c>
      <c r="C116" s="8">
        <v>156</v>
      </c>
      <c r="D116" s="61">
        <v>814</v>
      </c>
    </row>
    <row r="117" spans="1:4" x14ac:dyDescent="0.75">
      <c r="A117" t="s">
        <v>122</v>
      </c>
      <c r="B117">
        <v>2559</v>
      </c>
      <c r="C117" s="8">
        <v>5</v>
      </c>
      <c r="D117" s="61">
        <v>120</v>
      </c>
    </row>
    <row r="118" spans="1:4" x14ac:dyDescent="0.75">
      <c r="A118" t="s">
        <v>123</v>
      </c>
      <c r="B118">
        <v>2559</v>
      </c>
      <c r="C118" s="8">
        <v>4</v>
      </c>
      <c r="D118" s="61">
        <v>123</v>
      </c>
    </row>
    <row r="119" spans="1:4" x14ac:dyDescent="0.75">
      <c r="A119" t="s">
        <v>105</v>
      </c>
      <c r="B119">
        <v>2559</v>
      </c>
      <c r="C119" s="8">
        <v>6</v>
      </c>
      <c r="D119" s="61">
        <v>207</v>
      </c>
    </row>
    <row r="120" spans="1:4" x14ac:dyDescent="0.75">
      <c r="A120" t="s">
        <v>102</v>
      </c>
      <c r="B120">
        <v>2559</v>
      </c>
      <c r="C120" s="8">
        <v>22</v>
      </c>
      <c r="D120" s="61">
        <v>217.13</v>
      </c>
    </row>
    <row r="121" spans="1:4" x14ac:dyDescent="0.75">
      <c r="A121" t="s">
        <v>74</v>
      </c>
      <c r="B121">
        <v>2559</v>
      </c>
      <c r="C121" s="8">
        <v>68</v>
      </c>
      <c r="D121" s="61">
        <v>984</v>
      </c>
    </row>
    <row r="122" spans="1:4" x14ac:dyDescent="0.75">
      <c r="A122" t="s">
        <v>100</v>
      </c>
      <c r="B122">
        <v>2559</v>
      </c>
      <c r="C122" s="8">
        <v>10</v>
      </c>
      <c r="D122" s="61">
        <v>86</v>
      </c>
    </row>
    <row r="123" spans="1:4" x14ac:dyDescent="0.75">
      <c r="A123" t="s">
        <v>113</v>
      </c>
      <c r="B123">
        <v>2559</v>
      </c>
      <c r="C123" s="8">
        <v>6</v>
      </c>
      <c r="D123" s="61">
        <v>58.5</v>
      </c>
    </row>
    <row r="124" spans="1:4" x14ac:dyDescent="0.75">
      <c r="A124" t="s">
        <v>80</v>
      </c>
      <c r="B124">
        <v>2559</v>
      </c>
      <c r="C124" s="8">
        <v>39</v>
      </c>
      <c r="D124" s="61">
        <v>561.69000000000005</v>
      </c>
    </row>
    <row r="125" spans="1:4" x14ac:dyDescent="0.75">
      <c r="A125" t="s">
        <v>89</v>
      </c>
      <c r="B125">
        <v>2559</v>
      </c>
      <c r="C125" s="8">
        <v>25</v>
      </c>
      <c r="D125" s="61">
        <v>775</v>
      </c>
    </row>
    <row r="126" spans="1:4" x14ac:dyDescent="0.75">
      <c r="A126" t="s">
        <v>86</v>
      </c>
      <c r="B126">
        <v>2559</v>
      </c>
      <c r="C126" s="8">
        <v>13</v>
      </c>
      <c r="D126" s="61">
        <v>159</v>
      </c>
    </row>
    <row r="127" spans="1:4" x14ac:dyDescent="0.75">
      <c r="A127" t="s">
        <v>95</v>
      </c>
      <c r="B127">
        <v>2559</v>
      </c>
      <c r="C127" s="8">
        <v>33</v>
      </c>
      <c r="D127" s="61">
        <v>261.68</v>
      </c>
    </row>
    <row r="128" spans="1:4" x14ac:dyDescent="0.75">
      <c r="A128" t="s">
        <v>84</v>
      </c>
      <c r="B128">
        <v>2559</v>
      </c>
      <c r="C128" s="8">
        <v>173</v>
      </c>
      <c r="D128" s="61">
        <v>3592</v>
      </c>
    </row>
    <row r="129" spans="1:4" x14ac:dyDescent="0.75">
      <c r="A129" t="s">
        <v>73</v>
      </c>
      <c r="B129">
        <v>2559</v>
      </c>
      <c r="C129" s="8">
        <v>60</v>
      </c>
      <c r="D129" s="61">
        <v>730</v>
      </c>
    </row>
    <row r="130" spans="1:4" x14ac:dyDescent="0.75">
      <c r="A130" t="s">
        <v>77</v>
      </c>
      <c r="B130">
        <v>2559</v>
      </c>
      <c r="C130" s="8">
        <v>106</v>
      </c>
      <c r="D130" s="61">
        <v>5454</v>
      </c>
    </row>
    <row r="131" spans="1:4" x14ac:dyDescent="0.75">
      <c r="A131" t="s">
        <v>96</v>
      </c>
      <c r="B131">
        <v>2559</v>
      </c>
      <c r="C131" s="65">
        <v>103</v>
      </c>
      <c r="D131" s="66">
        <v>742.42</v>
      </c>
    </row>
    <row r="132" spans="1:4" x14ac:dyDescent="0.75">
      <c r="A132" t="s">
        <v>58</v>
      </c>
      <c r="B132">
        <v>2560</v>
      </c>
      <c r="C132" s="8">
        <v>1408</v>
      </c>
      <c r="D132" s="61">
        <v>22055.15</v>
      </c>
    </row>
    <row r="133" spans="1:4" x14ac:dyDescent="0.75">
      <c r="A133" t="s">
        <v>62</v>
      </c>
      <c r="B133">
        <v>2560</v>
      </c>
      <c r="C133" s="4">
        <v>86</v>
      </c>
      <c r="D133" s="59">
        <v>831.76</v>
      </c>
    </row>
    <row r="134" spans="1:4" x14ac:dyDescent="0.75">
      <c r="A134" t="s">
        <v>99</v>
      </c>
      <c r="B134">
        <v>2560</v>
      </c>
      <c r="C134" s="4">
        <v>13</v>
      </c>
      <c r="D134" s="59">
        <v>334</v>
      </c>
    </row>
    <row r="135" spans="1:4" x14ac:dyDescent="0.75">
      <c r="A135" t="s">
        <v>72</v>
      </c>
      <c r="B135">
        <v>2560</v>
      </c>
      <c r="C135" s="4">
        <v>67</v>
      </c>
      <c r="D135" s="59">
        <v>1315.25</v>
      </c>
    </row>
    <row r="136" spans="1:4" x14ac:dyDescent="0.75">
      <c r="A136" t="s">
        <v>85</v>
      </c>
      <c r="B136">
        <v>2560</v>
      </c>
      <c r="C136" s="4">
        <v>103</v>
      </c>
      <c r="D136" s="59">
        <v>1635</v>
      </c>
    </row>
    <row r="137" spans="1:4" x14ac:dyDescent="0.75">
      <c r="A137" t="s">
        <v>66</v>
      </c>
      <c r="B137">
        <v>2560</v>
      </c>
      <c r="C137" s="4">
        <v>78</v>
      </c>
      <c r="D137" s="59">
        <v>726</v>
      </c>
    </row>
    <row r="138" spans="1:4" x14ac:dyDescent="0.75">
      <c r="A138" t="s">
        <v>59</v>
      </c>
      <c r="B138">
        <v>2560</v>
      </c>
      <c r="C138" s="4">
        <v>298</v>
      </c>
      <c r="D138" s="59">
        <v>3703</v>
      </c>
    </row>
    <row r="139" spans="1:4" x14ac:dyDescent="0.75">
      <c r="A139" t="s">
        <v>117</v>
      </c>
      <c r="B139">
        <v>2560</v>
      </c>
      <c r="C139" s="4">
        <v>0</v>
      </c>
      <c r="D139" s="59">
        <v>0</v>
      </c>
    </row>
    <row r="140" spans="1:4" x14ac:dyDescent="0.75">
      <c r="A140" t="s">
        <v>97</v>
      </c>
      <c r="B140">
        <v>2560</v>
      </c>
      <c r="C140" s="4">
        <v>131</v>
      </c>
      <c r="D140" s="59">
        <v>1435</v>
      </c>
    </row>
    <row r="141" spans="1:4" x14ac:dyDescent="0.75">
      <c r="A141" t="s">
        <v>92</v>
      </c>
      <c r="B141">
        <v>2560</v>
      </c>
      <c r="C141" s="4">
        <v>42</v>
      </c>
      <c r="D141" s="59">
        <v>355</v>
      </c>
    </row>
    <row r="142" spans="1:4" x14ac:dyDescent="0.75">
      <c r="A142" t="s">
        <v>71</v>
      </c>
      <c r="B142">
        <v>2560</v>
      </c>
      <c r="C142" s="4">
        <v>40</v>
      </c>
      <c r="D142" s="59">
        <v>901</v>
      </c>
    </row>
    <row r="143" spans="1:4" x14ac:dyDescent="0.75">
      <c r="A143" t="s">
        <v>83</v>
      </c>
      <c r="B143">
        <v>2560</v>
      </c>
      <c r="C143" s="4">
        <v>64</v>
      </c>
      <c r="D143" s="59">
        <v>789</v>
      </c>
    </row>
    <row r="144" spans="1:4" x14ac:dyDescent="0.75">
      <c r="A144" t="s">
        <v>108</v>
      </c>
      <c r="B144">
        <v>2560</v>
      </c>
      <c r="C144" s="4">
        <v>0</v>
      </c>
      <c r="D144" s="59">
        <v>0</v>
      </c>
    </row>
    <row r="145" spans="1:4" x14ac:dyDescent="0.75">
      <c r="A145" t="s">
        <v>103</v>
      </c>
      <c r="B145">
        <v>2560</v>
      </c>
      <c r="C145" s="4">
        <v>0</v>
      </c>
      <c r="D145" s="59">
        <v>0</v>
      </c>
    </row>
    <row r="146" spans="1:4" x14ac:dyDescent="0.75">
      <c r="A146" t="s">
        <v>109</v>
      </c>
      <c r="B146">
        <v>2560</v>
      </c>
      <c r="C146" s="4">
        <v>38</v>
      </c>
      <c r="D146" s="59">
        <v>541</v>
      </c>
    </row>
    <row r="147" spans="1:4" x14ac:dyDescent="0.75">
      <c r="A147" t="s">
        <v>81</v>
      </c>
      <c r="B147">
        <v>2560</v>
      </c>
      <c r="C147" s="6">
        <v>74</v>
      </c>
      <c r="D147" s="60">
        <v>1545</v>
      </c>
    </row>
    <row r="148" spans="1:4" x14ac:dyDescent="0.75">
      <c r="A148" t="s">
        <v>112</v>
      </c>
      <c r="B148">
        <v>2560</v>
      </c>
      <c r="C148" s="8">
        <v>0</v>
      </c>
      <c r="D148" s="61">
        <v>0</v>
      </c>
    </row>
    <row r="149" spans="1:4" x14ac:dyDescent="0.75">
      <c r="A149" t="s">
        <v>118</v>
      </c>
      <c r="B149">
        <v>2560</v>
      </c>
      <c r="C149" s="8">
        <v>0</v>
      </c>
      <c r="D149" s="61">
        <v>0</v>
      </c>
    </row>
    <row r="150" spans="1:4" x14ac:dyDescent="0.75">
      <c r="A150" t="s">
        <v>106</v>
      </c>
      <c r="B150">
        <v>2560</v>
      </c>
      <c r="C150" s="8">
        <v>0</v>
      </c>
      <c r="D150" s="61">
        <v>0</v>
      </c>
    </row>
    <row r="151" spans="1:4" x14ac:dyDescent="0.75">
      <c r="A151" t="s">
        <v>75</v>
      </c>
      <c r="B151">
        <v>2560</v>
      </c>
      <c r="C151" s="8">
        <v>317</v>
      </c>
      <c r="D151" s="61">
        <v>10349.4</v>
      </c>
    </row>
    <row r="152" spans="1:4" x14ac:dyDescent="0.75">
      <c r="A152" t="s">
        <v>110</v>
      </c>
      <c r="B152">
        <v>2560</v>
      </c>
      <c r="C152" s="8">
        <v>1</v>
      </c>
      <c r="D152" s="61">
        <v>2</v>
      </c>
    </row>
    <row r="153" spans="1:4" x14ac:dyDescent="0.75">
      <c r="A153" t="s">
        <v>91</v>
      </c>
      <c r="B153">
        <v>2560</v>
      </c>
      <c r="C153" s="8">
        <v>82</v>
      </c>
      <c r="D153" s="61">
        <v>641</v>
      </c>
    </row>
    <row r="154" spans="1:4" x14ac:dyDescent="0.75">
      <c r="A154" t="s">
        <v>78</v>
      </c>
      <c r="B154">
        <v>2560</v>
      </c>
      <c r="C154" s="8">
        <v>21</v>
      </c>
      <c r="D154" s="61">
        <v>515</v>
      </c>
    </row>
    <row r="155" spans="1:4" x14ac:dyDescent="0.75">
      <c r="A155" t="s">
        <v>116</v>
      </c>
      <c r="B155">
        <v>2560</v>
      </c>
      <c r="C155" s="8">
        <v>16</v>
      </c>
      <c r="D155" s="61">
        <v>211</v>
      </c>
    </row>
    <row r="156" spans="1:4" x14ac:dyDescent="0.75">
      <c r="A156" t="s">
        <v>76</v>
      </c>
      <c r="B156">
        <v>2560</v>
      </c>
      <c r="C156" s="8">
        <v>9</v>
      </c>
      <c r="D156" s="61">
        <v>258</v>
      </c>
    </row>
    <row r="157" spans="1:4" x14ac:dyDescent="0.75">
      <c r="A157" t="s">
        <v>119</v>
      </c>
      <c r="B157">
        <v>2560</v>
      </c>
      <c r="C157" s="8">
        <v>1</v>
      </c>
      <c r="D157" s="61">
        <v>2</v>
      </c>
    </row>
    <row r="158" spans="1:4" x14ac:dyDescent="0.75">
      <c r="A158" t="s">
        <v>68</v>
      </c>
      <c r="B158">
        <v>2560</v>
      </c>
      <c r="C158" s="8">
        <v>127</v>
      </c>
      <c r="D158" s="61">
        <v>2240.25</v>
      </c>
    </row>
    <row r="159" spans="1:4" x14ac:dyDescent="0.75">
      <c r="A159" t="s">
        <v>135</v>
      </c>
      <c r="B159">
        <v>2560</v>
      </c>
      <c r="C159" s="8">
        <v>5</v>
      </c>
      <c r="D159" s="61">
        <v>93</v>
      </c>
    </row>
    <row r="160" spans="1:4" x14ac:dyDescent="0.75">
      <c r="A160" t="s">
        <v>79</v>
      </c>
      <c r="B160">
        <v>2560</v>
      </c>
      <c r="C160" s="8">
        <v>14</v>
      </c>
      <c r="D160" s="61">
        <v>156</v>
      </c>
    </row>
    <row r="161" spans="1:4" x14ac:dyDescent="0.75">
      <c r="A161" t="s">
        <v>111</v>
      </c>
      <c r="B161">
        <v>2560</v>
      </c>
      <c r="C161" s="8">
        <v>4</v>
      </c>
      <c r="D161" s="61">
        <v>28</v>
      </c>
    </row>
    <row r="162" spans="1:4" x14ac:dyDescent="0.75">
      <c r="A162" t="s">
        <v>104</v>
      </c>
      <c r="B162">
        <v>2560</v>
      </c>
      <c r="C162" s="8">
        <v>8</v>
      </c>
      <c r="D162" s="61">
        <v>238</v>
      </c>
    </row>
    <row r="163" spans="1:4" x14ac:dyDescent="0.75">
      <c r="A163" t="s">
        <v>121</v>
      </c>
      <c r="B163">
        <v>2560</v>
      </c>
      <c r="C163" s="8">
        <v>0</v>
      </c>
      <c r="D163" s="61">
        <v>0</v>
      </c>
    </row>
    <row r="164" spans="1:4" x14ac:dyDescent="0.75">
      <c r="A164" t="s">
        <v>64</v>
      </c>
      <c r="B164">
        <v>2560</v>
      </c>
      <c r="C164" s="8">
        <v>59</v>
      </c>
      <c r="D164" s="61">
        <v>802</v>
      </c>
    </row>
    <row r="165" spans="1:4" x14ac:dyDescent="0.75">
      <c r="A165" t="s">
        <v>114</v>
      </c>
      <c r="B165">
        <v>2560</v>
      </c>
      <c r="C165" s="8">
        <v>0</v>
      </c>
      <c r="D165" s="61">
        <v>0</v>
      </c>
    </row>
    <row r="166" spans="1:4" x14ac:dyDescent="0.75">
      <c r="A166" t="s">
        <v>124</v>
      </c>
      <c r="B166">
        <v>2560</v>
      </c>
      <c r="C166" s="8">
        <v>2</v>
      </c>
      <c r="D166" s="61">
        <v>366</v>
      </c>
    </row>
    <row r="167" spans="1:4" x14ac:dyDescent="0.75">
      <c r="A167" t="s">
        <v>70</v>
      </c>
      <c r="B167">
        <v>2560</v>
      </c>
      <c r="C167" s="8">
        <v>163</v>
      </c>
      <c r="D167" s="61">
        <v>2713.5</v>
      </c>
    </row>
    <row r="168" spans="1:4" x14ac:dyDescent="0.75">
      <c r="A168" t="s">
        <v>125</v>
      </c>
      <c r="B168">
        <v>2560</v>
      </c>
      <c r="C168" s="8">
        <v>0</v>
      </c>
      <c r="D168" s="61">
        <v>0</v>
      </c>
    </row>
    <row r="169" spans="1:4" x14ac:dyDescent="0.75">
      <c r="A169" t="s">
        <v>87</v>
      </c>
      <c r="B169">
        <v>2560</v>
      </c>
      <c r="C169" s="8">
        <v>0</v>
      </c>
      <c r="D169" s="61">
        <v>0</v>
      </c>
    </row>
    <row r="170" spans="1:4" x14ac:dyDescent="0.75">
      <c r="A170" t="s">
        <v>93</v>
      </c>
      <c r="B170">
        <v>2560</v>
      </c>
      <c r="C170" s="8">
        <v>52</v>
      </c>
      <c r="D170" s="61">
        <v>302.66000000000003</v>
      </c>
    </row>
    <row r="171" spans="1:4" x14ac:dyDescent="0.75">
      <c r="A171" t="s">
        <v>94</v>
      </c>
      <c r="B171">
        <v>2560</v>
      </c>
      <c r="C171" s="8">
        <v>19</v>
      </c>
      <c r="D171" s="61">
        <v>180</v>
      </c>
    </row>
    <row r="172" spans="1:4" x14ac:dyDescent="0.75">
      <c r="A172" t="s">
        <v>120</v>
      </c>
      <c r="B172">
        <v>2560</v>
      </c>
      <c r="C172" s="8">
        <v>0</v>
      </c>
      <c r="D172" s="61">
        <v>0</v>
      </c>
    </row>
    <row r="173" spans="1:4" x14ac:dyDescent="0.75">
      <c r="A173" t="s">
        <v>88</v>
      </c>
      <c r="B173">
        <v>2560</v>
      </c>
      <c r="C173" s="8">
        <v>41</v>
      </c>
      <c r="D173" s="61">
        <v>636</v>
      </c>
    </row>
    <row r="174" spans="1:4" x14ac:dyDescent="0.75">
      <c r="A174" t="s">
        <v>115</v>
      </c>
      <c r="B174">
        <v>2560</v>
      </c>
      <c r="C174" s="8">
        <v>0</v>
      </c>
      <c r="D174" s="61">
        <v>0</v>
      </c>
    </row>
    <row r="175" spans="1:4" x14ac:dyDescent="0.75">
      <c r="A175" t="s">
        <v>107</v>
      </c>
      <c r="B175">
        <v>2560</v>
      </c>
      <c r="C175" s="8">
        <v>3</v>
      </c>
      <c r="D175" s="61">
        <v>115</v>
      </c>
    </row>
    <row r="176" spans="1:4" x14ac:dyDescent="0.75">
      <c r="A176" t="s">
        <v>98</v>
      </c>
      <c r="B176">
        <v>2560</v>
      </c>
      <c r="C176" s="8">
        <v>16</v>
      </c>
      <c r="D176" s="61">
        <v>120</v>
      </c>
    </row>
    <row r="177" spans="1:4" x14ac:dyDescent="0.75">
      <c r="A177" t="s">
        <v>101</v>
      </c>
      <c r="B177">
        <v>2560</v>
      </c>
      <c r="C177" s="8">
        <v>3</v>
      </c>
      <c r="D177" s="61">
        <v>155</v>
      </c>
    </row>
    <row r="178" spans="1:4" x14ac:dyDescent="0.75">
      <c r="A178" t="s">
        <v>60</v>
      </c>
      <c r="B178">
        <v>2560</v>
      </c>
      <c r="C178" s="8">
        <v>374</v>
      </c>
      <c r="D178" s="61">
        <v>5686</v>
      </c>
    </row>
    <row r="179" spans="1:4" x14ac:dyDescent="0.75">
      <c r="A179" t="s">
        <v>61</v>
      </c>
      <c r="B179">
        <v>2560</v>
      </c>
      <c r="C179" s="8">
        <v>278</v>
      </c>
      <c r="D179" s="61">
        <v>6398</v>
      </c>
    </row>
    <row r="180" spans="1:4" x14ac:dyDescent="0.75">
      <c r="A180" t="s">
        <v>82</v>
      </c>
      <c r="B180">
        <v>2560</v>
      </c>
      <c r="C180" s="8">
        <v>26</v>
      </c>
      <c r="D180" s="61">
        <v>228.25</v>
      </c>
    </row>
    <row r="181" spans="1:4" x14ac:dyDescent="0.75">
      <c r="A181" t="s">
        <v>90</v>
      </c>
      <c r="B181">
        <v>2560</v>
      </c>
      <c r="C181" s="8">
        <v>120</v>
      </c>
      <c r="D181" s="61">
        <v>840</v>
      </c>
    </row>
    <row r="182" spans="1:4" x14ac:dyDescent="0.75">
      <c r="A182" t="s">
        <v>122</v>
      </c>
      <c r="B182">
        <v>2560</v>
      </c>
      <c r="C182" s="8">
        <v>1</v>
      </c>
      <c r="D182" s="61">
        <v>50</v>
      </c>
    </row>
    <row r="183" spans="1:4" x14ac:dyDescent="0.75">
      <c r="A183" t="s">
        <v>123</v>
      </c>
      <c r="B183">
        <v>2560</v>
      </c>
      <c r="C183" s="8">
        <v>0</v>
      </c>
      <c r="D183" s="61">
        <v>0</v>
      </c>
    </row>
    <row r="184" spans="1:4" x14ac:dyDescent="0.75">
      <c r="A184" t="s">
        <v>105</v>
      </c>
      <c r="B184">
        <v>2560</v>
      </c>
      <c r="C184" s="8">
        <v>5</v>
      </c>
      <c r="D184" s="61">
        <v>115</v>
      </c>
    </row>
    <row r="185" spans="1:4" x14ac:dyDescent="0.75">
      <c r="A185" t="s">
        <v>102</v>
      </c>
      <c r="B185">
        <v>2560</v>
      </c>
      <c r="C185" s="8">
        <v>25</v>
      </c>
      <c r="D185" s="61">
        <v>132</v>
      </c>
    </row>
    <row r="186" spans="1:4" x14ac:dyDescent="0.75">
      <c r="A186" t="s">
        <v>74</v>
      </c>
      <c r="B186">
        <v>2560</v>
      </c>
      <c r="C186" s="8">
        <v>81</v>
      </c>
      <c r="D186" s="61">
        <v>1054</v>
      </c>
    </row>
    <row r="187" spans="1:4" x14ac:dyDescent="0.75">
      <c r="A187" t="s">
        <v>100</v>
      </c>
      <c r="B187">
        <v>2560</v>
      </c>
      <c r="C187" s="8">
        <v>18</v>
      </c>
      <c r="D187" s="61">
        <v>153</v>
      </c>
    </row>
    <row r="188" spans="1:4" x14ac:dyDescent="0.75">
      <c r="A188" t="s">
        <v>113</v>
      </c>
      <c r="B188">
        <v>2560</v>
      </c>
      <c r="C188" s="8">
        <v>0</v>
      </c>
      <c r="D188" s="61">
        <v>0</v>
      </c>
    </row>
    <row r="189" spans="1:4" x14ac:dyDescent="0.75">
      <c r="A189" t="s">
        <v>80</v>
      </c>
      <c r="B189">
        <v>2560</v>
      </c>
      <c r="C189" s="8">
        <v>20</v>
      </c>
      <c r="D189" s="61">
        <v>212.42</v>
      </c>
    </row>
    <row r="190" spans="1:4" x14ac:dyDescent="0.75">
      <c r="A190" t="s">
        <v>89</v>
      </c>
      <c r="B190">
        <v>2560</v>
      </c>
      <c r="C190" s="8">
        <v>25</v>
      </c>
      <c r="D190" s="61">
        <v>527</v>
      </c>
    </row>
    <row r="191" spans="1:4" x14ac:dyDescent="0.75">
      <c r="A191" t="s">
        <v>86</v>
      </c>
      <c r="B191">
        <v>2560</v>
      </c>
      <c r="C191" s="8">
        <v>21</v>
      </c>
      <c r="D191" s="61">
        <v>345</v>
      </c>
    </row>
    <row r="192" spans="1:4" x14ac:dyDescent="0.75">
      <c r="A192" t="s">
        <v>95</v>
      </c>
      <c r="B192">
        <v>2560</v>
      </c>
      <c r="C192" s="8">
        <v>14</v>
      </c>
      <c r="D192" s="61">
        <v>145</v>
      </c>
    </row>
    <row r="193" spans="1:4" x14ac:dyDescent="0.75">
      <c r="A193" t="s">
        <v>84</v>
      </c>
      <c r="B193">
        <v>2560</v>
      </c>
      <c r="C193" s="8">
        <v>61</v>
      </c>
      <c r="D193" s="61">
        <v>935</v>
      </c>
    </row>
    <row r="194" spans="1:4" x14ac:dyDescent="0.75">
      <c r="A194" t="s">
        <v>73</v>
      </c>
      <c r="B194">
        <v>2560</v>
      </c>
      <c r="C194" s="8">
        <v>46</v>
      </c>
      <c r="D194" s="61">
        <v>485</v>
      </c>
    </row>
    <row r="195" spans="1:4" x14ac:dyDescent="0.75">
      <c r="A195" t="s">
        <v>77</v>
      </c>
      <c r="B195">
        <v>2560</v>
      </c>
      <c r="C195" s="8">
        <v>61</v>
      </c>
      <c r="D195" s="61">
        <v>1256</v>
      </c>
    </row>
    <row r="196" spans="1:4" x14ac:dyDescent="0.75">
      <c r="A196" t="s">
        <v>96</v>
      </c>
      <c r="B196">
        <v>2560</v>
      </c>
      <c r="C196" s="65">
        <v>69</v>
      </c>
      <c r="D196" s="66">
        <v>567.38</v>
      </c>
    </row>
    <row r="197" spans="1:4" x14ac:dyDescent="0.75">
      <c r="A197" t="s">
        <v>58</v>
      </c>
      <c r="B197">
        <v>2561</v>
      </c>
      <c r="C197" s="8">
        <v>1223</v>
      </c>
      <c r="D197" s="61">
        <v>15055.05</v>
      </c>
    </row>
    <row r="198" spans="1:4" x14ac:dyDescent="0.75">
      <c r="A198" t="s">
        <v>62</v>
      </c>
      <c r="B198">
        <v>2561</v>
      </c>
      <c r="C198" s="4">
        <v>43</v>
      </c>
      <c r="D198" s="59">
        <v>281.60000000000002</v>
      </c>
    </row>
    <row r="199" spans="1:4" x14ac:dyDescent="0.75">
      <c r="A199" t="s">
        <v>99</v>
      </c>
      <c r="B199">
        <v>2561</v>
      </c>
      <c r="C199" s="4">
        <v>10</v>
      </c>
      <c r="D199" s="59">
        <v>87</v>
      </c>
    </row>
    <row r="200" spans="1:4" x14ac:dyDescent="0.75">
      <c r="A200" t="s">
        <v>72</v>
      </c>
      <c r="B200">
        <v>2561</v>
      </c>
      <c r="C200" s="4">
        <v>43</v>
      </c>
      <c r="D200" s="59">
        <v>408</v>
      </c>
    </row>
    <row r="201" spans="1:4" x14ac:dyDescent="0.75">
      <c r="A201" t="s">
        <v>85</v>
      </c>
      <c r="B201">
        <v>2561</v>
      </c>
      <c r="C201" s="4">
        <v>69</v>
      </c>
      <c r="D201" s="59">
        <v>930</v>
      </c>
    </row>
    <row r="202" spans="1:4" x14ac:dyDescent="0.75">
      <c r="A202" t="s">
        <v>66</v>
      </c>
      <c r="B202">
        <v>2561</v>
      </c>
      <c r="C202" s="4">
        <v>54</v>
      </c>
      <c r="D202" s="59">
        <v>525</v>
      </c>
    </row>
    <row r="203" spans="1:4" x14ac:dyDescent="0.75">
      <c r="A203" t="s">
        <v>59</v>
      </c>
      <c r="B203">
        <v>2561</v>
      </c>
      <c r="C203" s="4">
        <v>367</v>
      </c>
      <c r="D203" s="59">
        <v>3730.13</v>
      </c>
    </row>
    <row r="204" spans="1:4" x14ac:dyDescent="0.75">
      <c r="A204" t="s">
        <v>117</v>
      </c>
      <c r="B204">
        <v>2561</v>
      </c>
      <c r="C204" s="4">
        <v>0</v>
      </c>
      <c r="D204" s="59">
        <v>0</v>
      </c>
    </row>
    <row r="205" spans="1:4" x14ac:dyDescent="0.75">
      <c r="A205" t="s">
        <v>97</v>
      </c>
      <c r="B205">
        <v>2561</v>
      </c>
      <c r="C205" s="4">
        <v>105</v>
      </c>
      <c r="D205" s="59">
        <v>912</v>
      </c>
    </row>
    <row r="206" spans="1:4" x14ac:dyDescent="0.75">
      <c r="A206" t="s">
        <v>92</v>
      </c>
      <c r="B206">
        <v>2561</v>
      </c>
      <c r="C206" s="4">
        <v>31</v>
      </c>
      <c r="D206" s="59">
        <v>218</v>
      </c>
    </row>
    <row r="207" spans="1:4" x14ac:dyDescent="0.75">
      <c r="A207" t="s">
        <v>71</v>
      </c>
      <c r="B207">
        <v>2561</v>
      </c>
      <c r="C207" s="4">
        <v>33</v>
      </c>
      <c r="D207" s="59">
        <v>347</v>
      </c>
    </row>
    <row r="208" spans="1:4" x14ac:dyDescent="0.75">
      <c r="A208" t="s">
        <v>83</v>
      </c>
      <c r="B208">
        <v>2561</v>
      </c>
      <c r="C208" s="4">
        <v>48</v>
      </c>
      <c r="D208" s="59">
        <v>687</v>
      </c>
    </row>
    <row r="209" spans="1:4" x14ac:dyDescent="0.75">
      <c r="A209" t="s">
        <v>108</v>
      </c>
      <c r="B209">
        <v>2561</v>
      </c>
      <c r="C209" s="4">
        <v>0</v>
      </c>
      <c r="D209" s="59">
        <v>0</v>
      </c>
    </row>
    <row r="210" spans="1:4" x14ac:dyDescent="0.75">
      <c r="A210" t="s">
        <v>103</v>
      </c>
      <c r="B210">
        <v>2561</v>
      </c>
      <c r="C210" s="4">
        <v>0</v>
      </c>
      <c r="D210" s="59">
        <v>0</v>
      </c>
    </row>
    <row r="211" spans="1:4" x14ac:dyDescent="0.75">
      <c r="A211" t="s">
        <v>109</v>
      </c>
      <c r="B211">
        <v>2561</v>
      </c>
      <c r="C211" s="4">
        <v>15</v>
      </c>
      <c r="D211" s="59">
        <v>130</v>
      </c>
    </row>
    <row r="212" spans="1:4" x14ac:dyDescent="0.75">
      <c r="A212" t="s">
        <v>81</v>
      </c>
      <c r="B212">
        <v>2561</v>
      </c>
      <c r="C212" s="6">
        <v>98</v>
      </c>
      <c r="D212" s="60">
        <v>1852</v>
      </c>
    </row>
    <row r="213" spans="1:4" x14ac:dyDescent="0.75">
      <c r="A213" t="s">
        <v>112</v>
      </c>
      <c r="B213">
        <v>2561</v>
      </c>
      <c r="C213" s="8">
        <v>0</v>
      </c>
      <c r="D213" s="61">
        <v>0</v>
      </c>
    </row>
    <row r="214" spans="1:4" x14ac:dyDescent="0.75">
      <c r="A214" t="s">
        <v>118</v>
      </c>
      <c r="B214">
        <v>2561</v>
      </c>
      <c r="C214" s="8">
        <v>5</v>
      </c>
      <c r="D214" s="61">
        <v>66.31</v>
      </c>
    </row>
    <row r="215" spans="1:4" x14ac:dyDescent="0.75">
      <c r="A215" t="s">
        <v>106</v>
      </c>
      <c r="B215">
        <v>2561</v>
      </c>
      <c r="C215" s="8">
        <v>0</v>
      </c>
      <c r="D215" s="61">
        <v>0</v>
      </c>
    </row>
    <row r="216" spans="1:4" x14ac:dyDescent="0.75">
      <c r="A216" t="s">
        <v>75</v>
      </c>
      <c r="B216">
        <v>2561</v>
      </c>
      <c r="C216" s="8">
        <v>163</v>
      </c>
      <c r="D216" s="61">
        <v>8639.5</v>
      </c>
    </row>
    <row r="217" spans="1:4" x14ac:dyDescent="0.75">
      <c r="A217" t="s">
        <v>110</v>
      </c>
      <c r="B217">
        <v>2561</v>
      </c>
      <c r="C217" s="8">
        <v>0</v>
      </c>
      <c r="D217" s="61">
        <v>0</v>
      </c>
    </row>
    <row r="218" spans="1:4" x14ac:dyDescent="0.75">
      <c r="A218" t="s">
        <v>91</v>
      </c>
      <c r="B218">
        <v>2561</v>
      </c>
      <c r="C218" s="8">
        <v>40</v>
      </c>
      <c r="D218" s="61">
        <v>240.5</v>
      </c>
    </row>
    <row r="219" spans="1:4" x14ac:dyDescent="0.75">
      <c r="A219" t="s">
        <v>78</v>
      </c>
      <c r="B219">
        <v>2561</v>
      </c>
      <c r="C219" s="8">
        <v>18</v>
      </c>
      <c r="D219" s="61">
        <v>184</v>
      </c>
    </row>
    <row r="220" spans="1:4" x14ac:dyDescent="0.75">
      <c r="A220" t="s">
        <v>116</v>
      </c>
      <c r="B220">
        <v>2561</v>
      </c>
      <c r="C220" s="8">
        <v>20</v>
      </c>
      <c r="D220" s="61">
        <v>800</v>
      </c>
    </row>
    <row r="221" spans="1:4" x14ac:dyDescent="0.75">
      <c r="A221" t="s">
        <v>76</v>
      </c>
      <c r="B221">
        <v>2561</v>
      </c>
      <c r="C221" s="8">
        <v>6</v>
      </c>
      <c r="D221" s="61">
        <v>265</v>
      </c>
    </row>
    <row r="222" spans="1:4" x14ac:dyDescent="0.75">
      <c r="A222" t="s">
        <v>119</v>
      </c>
      <c r="B222">
        <v>2561</v>
      </c>
      <c r="C222" s="8">
        <v>0</v>
      </c>
      <c r="D222" s="61">
        <v>0</v>
      </c>
    </row>
    <row r="223" spans="1:4" x14ac:dyDescent="0.75">
      <c r="A223" t="s">
        <v>68</v>
      </c>
      <c r="B223">
        <v>2561</v>
      </c>
      <c r="C223" s="8">
        <v>69</v>
      </c>
      <c r="D223" s="61">
        <v>1133.7</v>
      </c>
    </row>
    <row r="224" spans="1:4" x14ac:dyDescent="0.75">
      <c r="A224" t="s">
        <v>135</v>
      </c>
      <c r="B224">
        <v>2561</v>
      </c>
      <c r="C224" s="8">
        <v>13</v>
      </c>
      <c r="D224" s="61">
        <v>319</v>
      </c>
    </row>
    <row r="225" spans="1:4" x14ac:dyDescent="0.75">
      <c r="A225" t="s">
        <v>79</v>
      </c>
      <c r="B225">
        <v>2561</v>
      </c>
      <c r="C225" s="8">
        <v>19</v>
      </c>
      <c r="D225" s="61">
        <v>87</v>
      </c>
    </row>
    <row r="226" spans="1:4" x14ac:dyDescent="0.75">
      <c r="A226" t="s">
        <v>111</v>
      </c>
      <c r="B226">
        <v>2561</v>
      </c>
      <c r="C226" s="8">
        <v>4</v>
      </c>
      <c r="D226" s="61">
        <v>18</v>
      </c>
    </row>
    <row r="227" spans="1:4" x14ac:dyDescent="0.75">
      <c r="A227" t="s">
        <v>104</v>
      </c>
      <c r="B227">
        <v>2561</v>
      </c>
      <c r="C227" s="8">
        <v>4</v>
      </c>
      <c r="D227" s="61">
        <v>116</v>
      </c>
    </row>
    <row r="228" spans="1:4" x14ac:dyDescent="0.75">
      <c r="A228" t="s">
        <v>121</v>
      </c>
      <c r="B228">
        <v>2561</v>
      </c>
      <c r="C228" s="8">
        <v>0</v>
      </c>
      <c r="D228" s="61">
        <v>0</v>
      </c>
    </row>
    <row r="229" spans="1:4" x14ac:dyDescent="0.75">
      <c r="A229" t="s">
        <v>64</v>
      </c>
      <c r="B229">
        <v>2561</v>
      </c>
      <c r="C229" s="8">
        <v>30</v>
      </c>
      <c r="D229" s="61">
        <v>250</v>
      </c>
    </row>
    <row r="230" spans="1:4" x14ac:dyDescent="0.75">
      <c r="A230" t="s">
        <v>114</v>
      </c>
      <c r="B230">
        <v>2561</v>
      </c>
      <c r="C230" s="8">
        <v>0</v>
      </c>
      <c r="D230" s="61">
        <v>0</v>
      </c>
    </row>
    <row r="231" spans="1:4" x14ac:dyDescent="0.75">
      <c r="A231" t="s">
        <v>124</v>
      </c>
      <c r="B231">
        <v>2561</v>
      </c>
      <c r="C231" s="8">
        <v>6</v>
      </c>
      <c r="D231" s="61">
        <v>44.9</v>
      </c>
    </row>
    <row r="232" spans="1:4" x14ac:dyDescent="0.75">
      <c r="A232" t="s">
        <v>70</v>
      </c>
      <c r="B232">
        <v>2561</v>
      </c>
      <c r="C232" s="8">
        <v>87</v>
      </c>
      <c r="D232" s="61">
        <v>1090</v>
      </c>
    </row>
    <row r="233" spans="1:4" x14ac:dyDescent="0.75">
      <c r="A233" t="s">
        <v>125</v>
      </c>
      <c r="B233">
        <v>2561</v>
      </c>
      <c r="C233" s="8">
        <v>0</v>
      </c>
      <c r="D233" s="61">
        <v>0</v>
      </c>
    </row>
    <row r="234" spans="1:4" x14ac:dyDescent="0.75">
      <c r="A234" t="s">
        <v>87</v>
      </c>
      <c r="B234">
        <v>2561</v>
      </c>
      <c r="C234" s="8">
        <v>0</v>
      </c>
      <c r="D234" s="61">
        <v>0</v>
      </c>
    </row>
    <row r="235" spans="1:4" x14ac:dyDescent="0.75">
      <c r="A235" t="s">
        <v>93</v>
      </c>
      <c r="B235">
        <v>2561</v>
      </c>
      <c r="C235" s="8">
        <v>61</v>
      </c>
      <c r="D235" s="61">
        <v>274.88</v>
      </c>
    </row>
    <row r="236" spans="1:4" x14ac:dyDescent="0.75">
      <c r="A236" t="s">
        <v>94</v>
      </c>
      <c r="B236">
        <v>2561</v>
      </c>
      <c r="C236" s="8">
        <v>19</v>
      </c>
      <c r="D236" s="61">
        <v>252</v>
      </c>
    </row>
    <row r="237" spans="1:4" x14ac:dyDescent="0.75">
      <c r="A237" t="s">
        <v>120</v>
      </c>
      <c r="B237">
        <v>2561</v>
      </c>
      <c r="C237" s="8">
        <v>0</v>
      </c>
      <c r="D237" s="61">
        <v>0</v>
      </c>
    </row>
    <row r="238" spans="1:4" x14ac:dyDescent="0.75">
      <c r="A238" t="s">
        <v>88</v>
      </c>
      <c r="B238">
        <v>2561</v>
      </c>
      <c r="C238" s="8">
        <v>18</v>
      </c>
      <c r="D238" s="61">
        <v>195</v>
      </c>
    </row>
    <row r="239" spans="1:4" x14ac:dyDescent="0.75">
      <c r="A239" t="s">
        <v>115</v>
      </c>
      <c r="B239">
        <v>2561</v>
      </c>
      <c r="C239" s="8">
        <v>0</v>
      </c>
      <c r="D239" s="61">
        <v>0</v>
      </c>
    </row>
    <row r="240" spans="1:4" x14ac:dyDescent="0.75">
      <c r="A240" t="s">
        <v>107</v>
      </c>
      <c r="B240">
        <v>2561</v>
      </c>
      <c r="C240" s="8">
        <v>0</v>
      </c>
      <c r="D240" s="61">
        <v>0</v>
      </c>
    </row>
    <row r="241" spans="1:4" x14ac:dyDescent="0.75">
      <c r="A241" t="s">
        <v>98</v>
      </c>
      <c r="B241">
        <v>2561</v>
      </c>
      <c r="C241" s="8">
        <v>8</v>
      </c>
      <c r="D241" s="61">
        <v>74</v>
      </c>
    </row>
    <row r="242" spans="1:4" x14ac:dyDescent="0.75">
      <c r="A242" t="s">
        <v>101</v>
      </c>
      <c r="B242">
        <v>2561</v>
      </c>
      <c r="C242" s="8">
        <v>1</v>
      </c>
      <c r="D242" s="61">
        <v>7</v>
      </c>
    </row>
    <row r="243" spans="1:4" x14ac:dyDescent="0.75">
      <c r="A243" t="s">
        <v>60</v>
      </c>
      <c r="B243">
        <v>2561</v>
      </c>
      <c r="C243" s="8">
        <v>232</v>
      </c>
      <c r="D243" s="61">
        <v>4303</v>
      </c>
    </row>
    <row r="244" spans="1:4" x14ac:dyDescent="0.75">
      <c r="A244" t="s">
        <v>61</v>
      </c>
      <c r="B244">
        <v>2561</v>
      </c>
      <c r="C244" s="8">
        <v>243</v>
      </c>
      <c r="D244" s="61">
        <v>5995</v>
      </c>
    </row>
    <row r="245" spans="1:4" x14ac:dyDescent="0.75">
      <c r="A245" t="s">
        <v>82</v>
      </c>
      <c r="B245">
        <v>2561</v>
      </c>
      <c r="C245" s="8">
        <v>53</v>
      </c>
      <c r="D245" s="61">
        <v>421.51</v>
      </c>
    </row>
    <row r="246" spans="1:4" x14ac:dyDescent="0.75">
      <c r="A246" t="s">
        <v>90</v>
      </c>
      <c r="B246">
        <v>2561</v>
      </c>
      <c r="C246" s="8">
        <v>104</v>
      </c>
      <c r="D246" s="61">
        <v>402.5</v>
      </c>
    </row>
    <row r="247" spans="1:4" x14ac:dyDescent="0.75">
      <c r="A247" t="s">
        <v>122</v>
      </c>
      <c r="B247">
        <v>2561</v>
      </c>
      <c r="C247" s="8">
        <v>4</v>
      </c>
      <c r="D247" s="61">
        <v>85</v>
      </c>
    </row>
    <row r="248" spans="1:4" x14ac:dyDescent="0.75">
      <c r="A248" t="s">
        <v>123</v>
      </c>
      <c r="B248">
        <v>2561</v>
      </c>
      <c r="C248" s="8">
        <v>2</v>
      </c>
      <c r="D248" s="61">
        <v>2</v>
      </c>
    </row>
    <row r="249" spans="1:4" x14ac:dyDescent="0.75">
      <c r="A249" t="s">
        <v>105</v>
      </c>
      <c r="B249">
        <v>2561</v>
      </c>
      <c r="C249" s="8">
        <v>6</v>
      </c>
      <c r="D249" s="61">
        <v>142</v>
      </c>
    </row>
    <row r="250" spans="1:4" x14ac:dyDescent="0.75">
      <c r="A250" t="s">
        <v>102</v>
      </c>
      <c r="B250">
        <v>2561</v>
      </c>
      <c r="C250" s="8">
        <v>1</v>
      </c>
      <c r="D250" s="61">
        <v>8</v>
      </c>
    </row>
    <row r="251" spans="1:4" x14ac:dyDescent="0.75">
      <c r="A251" t="s">
        <v>74</v>
      </c>
      <c r="B251">
        <v>2561</v>
      </c>
      <c r="C251" s="8">
        <v>33</v>
      </c>
      <c r="D251" s="61">
        <v>654</v>
      </c>
    </row>
    <row r="252" spans="1:4" x14ac:dyDescent="0.75">
      <c r="A252" t="s">
        <v>100</v>
      </c>
      <c r="B252">
        <v>2561</v>
      </c>
      <c r="C252" s="8">
        <v>13</v>
      </c>
      <c r="D252" s="61">
        <v>138</v>
      </c>
    </row>
    <row r="253" spans="1:4" x14ac:dyDescent="0.75">
      <c r="A253" t="s">
        <v>113</v>
      </c>
      <c r="B253">
        <v>2561</v>
      </c>
      <c r="C253" s="8">
        <v>0</v>
      </c>
      <c r="D253" s="61">
        <v>0</v>
      </c>
    </row>
    <row r="254" spans="1:4" x14ac:dyDescent="0.75">
      <c r="A254" t="s">
        <v>80</v>
      </c>
      <c r="B254">
        <v>2561</v>
      </c>
      <c r="C254" s="8">
        <v>25</v>
      </c>
      <c r="D254" s="61">
        <v>229.48</v>
      </c>
    </row>
    <row r="255" spans="1:4" x14ac:dyDescent="0.75">
      <c r="A255" t="s">
        <v>89</v>
      </c>
      <c r="B255">
        <v>2561</v>
      </c>
      <c r="C255" s="8">
        <v>47</v>
      </c>
      <c r="D255" s="61">
        <v>1557</v>
      </c>
    </row>
    <row r="256" spans="1:4" x14ac:dyDescent="0.75">
      <c r="A256" t="s">
        <v>86</v>
      </c>
      <c r="B256">
        <v>2561</v>
      </c>
      <c r="C256" s="8">
        <v>17</v>
      </c>
      <c r="D256" s="61">
        <v>151</v>
      </c>
    </row>
    <row r="257" spans="1:4" x14ac:dyDescent="0.75">
      <c r="A257" t="s">
        <v>95</v>
      </c>
      <c r="B257">
        <v>2561</v>
      </c>
      <c r="C257" s="8">
        <v>12</v>
      </c>
      <c r="D257" s="61">
        <v>90</v>
      </c>
    </row>
    <row r="258" spans="1:4" x14ac:dyDescent="0.75">
      <c r="A258" t="s">
        <v>84</v>
      </c>
      <c r="B258">
        <v>2561</v>
      </c>
      <c r="C258" s="8">
        <v>69</v>
      </c>
      <c r="D258" s="61">
        <v>846</v>
      </c>
    </row>
    <row r="259" spans="1:4" x14ac:dyDescent="0.75">
      <c r="A259" t="s">
        <v>73</v>
      </c>
      <c r="B259">
        <v>2561</v>
      </c>
      <c r="C259" s="8">
        <v>39</v>
      </c>
      <c r="D259" s="61">
        <v>403</v>
      </c>
    </row>
    <row r="260" spans="1:4" x14ac:dyDescent="0.75">
      <c r="A260" t="s">
        <v>77</v>
      </c>
      <c r="B260">
        <v>2561</v>
      </c>
      <c r="C260" s="8">
        <v>20</v>
      </c>
      <c r="D260" s="61">
        <v>357</v>
      </c>
    </row>
    <row r="261" spans="1:4" x14ac:dyDescent="0.75">
      <c r="A261" t="s">
        <v>96</v>
      </c>
      <c r="B261">
        <v>2561</v>
      </c>
      <c r="C261" s="65">
        <v>118</v>
      </c>
      <c r="D261" s="66">
        <v>762.27</v>
      </c>
    </row>
    <row r="262" spans="1:4" x14ac:dyDescent="0.75">
      <c r="A262" t="s">
        <v>58</v>
      </c>
      <c r="B262">
        <v>2562</v>
      </c>
      <c r="C262" s="8">
        <v>2536</v>
      </c>
      <c r="D262" s="61">
        <v>36744.9</v>
      </c>
    </row>
    <row r="263" spans="1:4" x14ac:dyDescent="0.75">
      <c r="A263" t="s">
        <v>62</v>
      </c>
      <c r="B263">
        <v>2562</v>
      </c>
      <c r="C263" s="4">
        <v>347</v>
      </c>
      <c r="D263" s="59">
        <v>7775.94</v>
      </c>
    </row>
    <row r="264" spans="1:4" x14ac:dyDescent="0.75">
      <c r="A264" t="s">
        <v>99</v>
      </c>
      <c r="B264">
        <v>2562</v>
      </c>
      <c r="C264" s="4">
        <v>89</v>
      </c>
      <c r="D264" s="59">
        <v>2898</v>
      </c>
    </row>
    <row r="265" spans="1:4" x14ac:dyDescent="0.75">
      <c r="A265" t="s">
        <v>72</v>
      </c>
      <c r="B265">
        <v>2562</v>
      </c>
      <c r="C265" s="4">
        <v>80</v>
      </c>
      <c r="D265" s="59">
        <v>809.7</v>
      </c>
    </row>
    <row r="266" spans="1:4" x14ac:dyDescent="0.75">
      <c r="A266" t="s">
        <v>85</v>
      </c>
      <c r="B266">
        <v>2562</v>
      </c>
      <c r="C266" s="4">
        <v>185</v>
      </c>
      <c r="D266" s="59">
        <v>3063</v>
      </c>
    </row>
    <row r="267" spans="1:4" x14ac:dyDescent="0.75">
      <c r="A267" t="s">
        <v>66</v>
      </c>
      <c r="B267">
        <v>2562</v>
      </c>
      <c r="C267" s="4">
        <v>135</v>
      </c>
      <c r="D267" s="59">
        <v>2446</v>
      </c>
    </row>
    <row r="268" spans="1:4" x14ac:dyDescent="0.75">
      <c r="A268" t="s">
        <v>59</v>
      </c>
      <c r="B268">
        <v>2562</v>
      </c>
      <c r="C268" s="4">
        <v>500</v>
      </c>
      <c r="D268" s="59">
        <v>7711.8</v>
      </c>
    </row>
    <row r="269" spans="1:4" x14ac:dyDescent="0.75">
      <c r="A269" t="s">
        <v>117</v>
      </c>
      <c r="B269">
        <v>2562</v>
      </c>
      <c r="C269" s="4">
        <v>1</v>
      </c>
      <c r="D269" s="59">
        <v>2</v>
      </c>
    </row>
    <row r="270" spans="1:4" x14ac:dyDescent="0.75">
      <c r="A270" t="s">
        <v>97</v>
      </c>
      <c r="B270">
        <v>2562</v>
      </c>
      <c r="C270" s="4">
        <v>260</v>
      </c>
      <c r="D270" s="59">
        <v>1683.45</v>
      </c>
    </row>
    <row r="271" spans="1:4" x14ac:dyDescent="0.75">
      <c r="A271" t="s">
        <v>92</v>
      </c>
      <c r="B271">
        <v>2562</v>
      </c>
      <c r="C271" s="4">
        <v>44</v>
      </c>
      <c r="D271" s="59">
        <v>345</v>
      </c>
    </row>
    <row r="272" spans="1:4" x14ac:dyDescent="0.75">
      <c r="A272" t="s">
        <v>71</v>
      </c>
      <c r="B272">
        <v>2562</v>
      </c>
      <c r="C272" s="4">
        <v>80</v>
      </c>
      <c r="D272" s="59">
        <v>1451</v>
      </c>
    </row>
    <row r="273" spans="1:4" x14ac:dyDescent="0.75">
      <c r="A273" t="s">
        <v>83</v>
      </c>
      <c r="B273">
        <v>2562</v>
      </c>
      <c r="C273" s="4">
        <v>101</v>
      </c>
      <c r="D273" s="59">
        <v>976</v>
      </c>
    </row>
    <row r="274" spans="1:4" x14ac:dyDescent="0.75">
      <c r="A274" t="s">
        <v>108</v>
      </c>
      <c r="B274">
        <v>2562</v>
      </c>
      <c r="C274" s="4">
        <v>1</v>
      </c>
      <c r="D274" s="59">
        <v>3</v>
      </c>
    </row>
    <row r="275" spans="1:4" x14ac:dyDescent="0.75">
      <c r="A275" t="s">
        <v>103</v>
      </c>
      <c r="B275">
        <v>2562</v>
      </c>
      <c r="C275" s="4">
        <v>3</v>
      </c>
      <c r="D275" s="59">
        <v>8.5500000000000007</v>
      </c>
    </row>
    <row r="276" spans="1:4" x14ac:dyDescent="0.75">
      <c r="A276" t="s">
        <v>109</v>
      </c>
      <c r="B276">
        <v>2562</v>
      </c>
      <c r="C276" s="4">
        <v>51</v>
      </c>
      <c r="D276" s="59">
        <v>699</v>
      </c>
    </row>
    <row r="277" spans="1:4" x14ac:dyDescent="0.75">
      <c r="A277" t="s">
        <v>81</v>
      </c>
      <c r="B277">
        <v>2562</v>
      </c>
      <c r="C277" s="6">
        <v>103</v>
      </c>
      <c r="D277" s="60">
        <v>10468.57</v>
      </c>
    </row>
    <row r="278" spans="1:4" x14ac:dyDescent="0.75">
      <c r="A278" t="s">
        <v>112</v>
      </c>
      <c r="B278">
        <v>2562</v>
      </c>
      <c r="C278" s="8">
        <v>0</v>
      </c>
      <c r="D278" s="61">
        <v>0</v>
      </c>
    </row>
    <row r="279" spans="1:4" x14ac:dyDescent="0.75">
      <c r="A279" t="s">
        <v>118</v>
      </c>
      <c r="B279">
        <v>2562</v>
      </c>
      <c r="C279" s="8">
        <v>13</v>
      </c>
      <c r="D279" s="61">
        <v>146.19999999999999</v>
      </c>
    </row>
    <row r="280" spans="1:4" x14ac:dyDescent="0.75">
      <c r="A280" t="s">
        <v>106</v>
      </c>
      <c r="B280">
        <v>2562</v>
      </c>
      <c r="C280" s="8">
        <v>0</v>
      </c>
      <c r="D280" s="61">
        <v>0</v>
      </c>
    </row>
    <row r="281" spans="1:4" x14ac:dyDescent="0.75">
      <c r="A281" t="s">
        <v>75</v>
      </c>
      <c r="B281">
        <v>2562</v>
      </c>
      <c r="C281" s="8">
        <v>301</v>
      </c>
      <c r="D281" s="61">
        <v>9724.25</v>
      </c>
    </row>
    <row r="282" spans="1:4" x14ac:dyDescent="0.75">
      <c r="A282" t="s">
        <v>110</v>
      </c>
      <c r="B282">
        <v>2562</v>
      </c>
      <c r="C282" s="8">
        <v>0</v>
      </c>
      <c r="D282" s="61">
        <v>0</v>
      </c>
    </row>
    <row r="283" spans="1:4" x14ac:dyDescent="0.75">
      <c r="A283" t="s">
        <v>91</v>
      </c>
      <c r="B283">
        <v>2562</v>
      </c>
      <c r="C283" s="8">
        <v>49</v>
      </c>
      <c r="D283" s="61">
        <v>432</v>
      </c>
    </row>
    <row r="284" spans="1:4" x14ac:dyDescent="0.75">
      <c r="A284" t="s">
        <v>78</v>
      </c>
      <c r="B284">
        <v>2562</v>
      </c>
      <c r="C284" s="8">
        <v>38</v>
      </c>
      <c r="D284" s="61">
        <v>468</v>
      </c>
    </row>
    <row r="285" spans="1:4" x14ac:dyDescent="0.75">
      <c r="A285" t="s">
        <v>116</v>
      </c>
      <c r="B285">
        <v>2562</v>
      </c>
      <c r="C285" s="8">
        <v>71</v>
      </c>
      <c r="D285" s="61">
        <v>15423</v>
      </c>
    </row>
    <row r="286" spans="1:4" x14ac:dyDescent="0.75">
      <c r="A286" t="s">
        <v>76</v>
      </c>
      <c r="B286">
        <v>2562</v>
      </c>
      <c r="C286" s="8">
        <v>30</v>
      </c>
      <c r="D286" s="61">
        <v>1488</v>
      </c>
    </row>
    <row r="287" spans="1:4" x14ac:dyDescent="0.75">
      <c r="A287" t="s">
        <v>119</v>
      </c>
      <c r="B287">
        <v>2562</v>
      </c>
      <c r="C287" s="8">
        <v>3</v>
      </c>
      <c r="D287" s="61">
        <v>8.42</v>
      </c>
    </row>
    <row r="288" spans="1:4" x14ac:dyDescent="0.75">
      <c r="A288" t="s">
        <v>68</v>
      </c>
      <c r="B288">
        <v>2562</v>
      </c>
      <c r="C288" s="8">
        <v>230</v>
      </c>
      <c r="D288" s="61">
        <v>3844.2</v>
      </c>
    </row>
    <row r="289" spans="1:4" x14ac:dyDescent="0.75">
      <c r="A289" t="s">
        <v>135</v>
      </c>
      <c r="B289">
        <v>2562</v>
      </c>
      <c r="C289" s="8">
        <v>28</v>
      </c>
      <c r="D289" s="61">
        <v>1100</v>
      </c>
    </row>
    <row r="290" spans="1:4" x14ac:dyDescent="0.75">
      <c r="A290" t="s">
        <v>79</v>
      </c>
      <c r="B290">
        <v>2562</v>
      </c>
      <c r="C290" s="8">
        <v>41</v>
      </c>
      <c r="D290" s="61">
        <v>286</v>
      </c>
    </row>
    <row r="291" spans="1:4" x14ac:dyDescent="0.75">
      <c r="A291" t="s">
        <v>111</v>
      </c>
      <c r="B291">
        <v>2562</v>
      </c>
      <c r="C291" s="8">
        <v>43</v>
      </c>
      <c r="D291" s="61">
        <v>707.5</v>
      </c>
    </row>
    <row r="292" spans="1:4" x14ac:dyDescent="0.75">
      <c r="A292" t="s">
        <v>104</v>
      </c>
      <c r="B292">
        <v>2562</v>
      </c>
      <c r="C292" s="8">
        <v>14</v>
      </c>
      <c r="D292" s="61">
        <v>530</v>
      </c>
    </row>
    <row r="293" spans="1:4" x14ac:dyDescent="0.75">
      <c r="A293" t="s">
        <v>121</v>
      </c>
      <c r="B293">
        <v>2562</v>
      </c>
      <c r="C293" s="8">
        <v>1</v>
      </c>
      <c r="D293" s="61">
        <v>0.34</v>
      </c>
    </row>
    <row r="294" spans="1:4" x14ac:dyDescent="0.75">
      <c r="A294" t="s">
        <v>64</v>
      </c>
      <c r="B294">
        <v>2562</v>
      </c>
      <c r="C294" s="8">
        <v>203</v>
      </c>
      <c r="D294" s="61">
        <v>3241</v>
      </c>
    </row>
    <row r="295" spans="1:4" x14ac:dyDescent="0.75">
      <c r="A295" t="s">
        <v>114</v>
      </c>
      <c r="B295">
        <v>2562</v>
      </c>
      <c r="C295" s="8">
        <v>1</v>
      </c>
      <c r="D295" s="61">
        <v>800</v>
      </c>
    </row>
    <row r="296" spans="1:4" x14ac:dyDescent="0.75">
      <c r="A296" t="s">
        <v>124</v>
      </c>
      <c r="B296">
        <v>2562</v>
      </c>
      <c r="C296" s="8">
        <v>11</v>
      </c>
      <c r="D296" s="61">
        <v>1378</v>
      </c>
    </row>
    <row r="297" spans="1:4" x14ac:dyDescent="0.75">
      <c r="A297" t="s">
        <v>70</v>
      </c>
      <c r="B297">
        <v>2562</v>
      </c>
      <c r="C297" s="8">
        <v>182</v>
      </c>
      <c r="D297" s="61">
        <v>2505.5</v>
      </c>
    </row>
    <row r="298" spans="1:4" x14ac:dyDescent="0.75">
      <c r="A298" t="s">
        <v>125</v>
      </c>
      <c r="B298">
        <v>2562</v>
      </c>
      <c r="C298" s="8">
        <v>1</v>
      </c>
      <c r="D298" s="61">
        <v>66.89</v>
      </c>
    </row>
    <row r="299" spans="1:4" x14ac:dyDescent="0.75">
      <c r="A299" t="s">
        <v>87</v>
      </c>
      <c r="B299">
        <v>2562</v>
      </c>
      <c r="C299" s="8">
        <v>0</v>
      </c>
      <c r="D299" s="61">
        <v>0</v>
      </c>
    </row>
    <row r="300" spans="1:4" x14ac:dyDescent="0.75">
      <c r="A300" t="s">
        <v>93</v>
      </c>
      <c r="B300">
        <v>2562</v>
      </c>
      <c r="C300" s="8">
        <v>5</v>
      </c>
      <c r="D300" s="61">
        <v>43.04</v>
      </c>
    </row>
    <row r="301" spans="1:4" x14ac:dyDescent="0.75">
      <c r="A301" t="s">
        <v>94</v>
      </c>
      <c r="B301">
        <v>2562</v>
      </c>
      <c r="C301" s="8">
        <v>0</v>
      </c>
      <c r="D301" s="61">
        <v>0</v>
      </c>
    </row>
    <row r="302" spans="1:4" x14ac:dyDescent="0.75">
      <c r="A302" t="s">
        <v>120</v>
      </c>
      <c r="B302">
        <v>2562</v>
      </c>
      <c r="C302" s="8">
        <v>0</v>
      </c>
      <c r="D302" s="61">
        <v>0</v>
      </c>
    </row>
    <row r="303" spans="1:4" x14ac:dyDescent="0.75">
      <c r="A303" t="s">
        <v>88</v>
      </c>
      <c r="B303">
        <v>2562</v>
      </c>
      <c r="C303" s="8">
        <v>38</v>
      </c>
      <c r="D303" s="61">
        <v>490.88</v>
      </c>
    </row>
    <row r="304" spans="1:4" x14ac:dyDescent="0.75">
      <c r="A304" t="s">
        <v>115</v>
      </c>
      <c r="B304">
        <v>2562</v>
      </c>
      <c r="C304" s="8">
        <v>1</v>
      </c>
      <c r="D304" s="61">
        <v>70</v>
      </c>
    </row>
    <row r="305" spans="1:4" x14ac:dyDescent="0.75">
      <c r="A305" t="s">
        <v>107</v>
      </c>
      <c r="B305">
        <v>2562</v>
      </c>
      <c r="C305" s="8">
        <v>2</v>
      </c>
      <c r="D305" s="61">
        <v>25</v>
      </c>
    </row>
    <row r="306" spans="1:4" x14ac:dyDescent="0.75">
      <c r="A306" t="s">
        <v>98</v>
      </c>
      <c r="B306">
        <v>2562</v>
      </c>
      <c r="C306" s="8">
        <v>90</v>
      </c>
      <c r="D306" s="61">
        <v>786</v>
      </c>
    </row>
    <row r="307" spans="1:4" x14ac:dyDescent="0.75">
      <c r="A307" t="s">
        <v>101</v>
      </c>
      <c r="B307">
        <v>2562</v>
      </c>
      <c r="C307" s="8">
        <v>0</v>
      </c>
      <c r="D307" s="61">
        <v>0</v>
      </c>
    </row>
    <row r="308" spans="1:4" x14ac:dyDescent="0.75">
      <c r="A308" t="s">
        <v>60</v>
      </c>
      <c r="B308">
        <v>2562</v>
      </c>
      <c r="C308" s="8">
        <v>361</v>
      </c>
      <c r="D308" s="61">
        <v>6575</v>
      </c>
    </row>
    <row r="309" spans="1:4" x14ac:dyDescent="0.75">
      <c r="A309" t="s">
        <v>61</v>
      </c>
      <c r="B309">
        <v>2562</v>
      </c>
      <c r="C309" s="8">
        <v>368</v>
      </c>
      <c r="D309" s="61">
        <v>13070</v>
      </c>
    </row>
    <row r="310" spans="1:4" x14ac:dyDescent="0.75">
      <c r="A310" t="s">
        <v>82</v>
      </c>
      <c r="B310">
        <v>2562</v>
      </c>
      <c r="C310" s="8">
        <v>8</v>
      </c>
      <c r="D310" s="61">
        <v>118.23</v>
      </c>
    </row>
    <row r="311" spans="1:4" x14ac:dyDescent="0.75">
      <c r="A311" t="s">
        <v>90</v>
      </c>
      <c r="B311">
        <v>2562</v>
      </c>
      <c r="C311" s="8">
        <v>167</v>
      </c>
      <c r="D311" s="61">
        <v>832.25</v>
      </c>
    </row>
    <row r="312" spans="1:4" x14ac:dyDescent="0.75">
      <c r="A312" t="s">
        <v>122</v>
      </c>
      <c r="B312">
        <v>2562</v>
      </c>
      <c r="C312" s="8">
        <v>2</v>
      </c>
      <c r="D312" s="61">
        <v>30</v>
      </c>
    </row>
    <row r="313" spans="1:4" x14ac:dyDescent="0.75">
      <c r="A313" t="s">
        <v>123</v>
      </c>
      <c r="B313">
        <v>2562</v>
      </c>
      <c r="C313" s="8">
        <v>0</v>
      </c>
      <c r="D313" s="61">
        <v>0</v>
      </c>
    </row>
    <row r="314" spans="1:4" x14ac:dyDescent="0.75">
      <c r="A314" t="s">
        <v>105</v>
      </c>
      <c r="B314">
        <v>2562</v>
      </c>
      <c r="C314" s="8">
        <v>10</v>
      </c>
      <c r="D314" s="61">
        <v>150</v>
      </c>
    </row>
    <row r="315" spans="1:4" x14ac:dyDescent="0.75">
      <c r="A315" t="s">
        <v>102</v>
      </c>
      <c r="B315">
        <v>2562</v>
      </c>
      <c r="C315" s="8">
        <v>21</v>
      </c>
      <c r="D315" s="61">
        <v>127</v>
      </c>
    </row>
    <row r="316" spans="1:4" x14ac:dyDescent="0.75">
      <c r="A316" t="s">
        <v>74</v>
      </c>
      <c r="B316">
        <v>2562</v>
      </c>
      <c r="C316" s="8">
        <v>52</v>
      </c>
      <c r="D316" s="61">
        <v>2112</v>
      </c>
    </row>
    <row r="317" spans="1:4" x14ac:dyDescent="0.75">
      <c r="A317" t="s">
        <v>100</v>
      </c>
      <c r="B317">
        <v>2562</v>
      </c>
      <c r="C317" s="8">
        <v>36</v>
      </c>
      <c r="D317" s="61">
        <v>354</v>
      </c>
    </row>
    <row r="318" spans="1:4" x14ac:dyDescent="0.75">
      <c r="A318" t="s">
        <v>113</v>
      </c>
      <c r="B318">
        <v>2562</v>
      </c>
      <c r="C318" s="8">
        <v>0</v>
      </c>
      <c r="D318" s="61">
        <v>0</v>
      </c>
    </row>
    <row r="319" spans="1:4" x14ac:dyDescent="0.75">
      <c r="A319" t="s">
        <v>80</v>
      </c>
      <c r="B319">
        <v>2562</v>
      </c>
      <c r="C319" s="8">
        <v>4</v>
      </c>
      <c r="D319" s="61">
        <v>35.78</v>
      </c>
    </row>
    <row r="320" spans="1:4" x14ac:dyDescent="0.75">
      <c r="A320" t="s">
        <v>89</v>
      </c>
      <c r="B320">
        <v>2562</v>
      </c>
      <c r="C320" s="8">
        <v>30</v>
      </c>
      <c r="D320" s="61">
        <v>737</v>
      </c>
    </row>
    <row r="321" spans="1:4" x14ac:dyDescent="0.75">
      <c r="A321" t="s">
        <v>86</v>
      </c>
      <c r="B321">
        <v>2562</v>
      </c>
      <c r="C321" s="8">
        <v>28</v>
      </c>
      <c r="D321" s="61">
        <v>312</v>
      </c>
    </row>
    <row r="322" spans="1:4" x14ac:dyDescent="0.75">
      <c r="A322" t="s">
        <v>95</v>
      </c>
      <c r="B322">
        <v>2562</v>
      </c>
      <c r="C322" s="8">
        <v>0</v>
      </c>
      <c r="D322" s="61">
        <v>0</v>
      </c>
    </row>
    <row r="323" spans="1:4" x14ac:dyDescent="0.75">
      <c r="A323" t="s">
        <v>84</v>
      </c>
      <c r="B323">
        <v>2562</v>
      </c>
      <c r="C323" s="8">
        <v>161</v>
      </c>
      <c r="D323" s="61">
        <v>3604</v>
      </c>
    </row>
    <row r="324" spans="1:4" x14ac:dyDescent="0.75">
      <c r="A324" t="s">
        <v>73</v>
      </c>
      <c r="B324">
        <v>2562</v>
      </c>
      <c r="C324" s="8">
        <v>57</v>
      </c>
      <c r="D324" s="61">
        <v>607.29999999999995</v>
      </c>
    </row>
    <row r="325" spans="1:4" x14ac:dyDescent="0.75">
      <c r="A325" t="s">
        <v>77</v>
      </c>
      <c r="B325">
        <v>2562</v>
      </c>
      <c r="C325" s="8">
        <v>89</v>
      </c>
      <c r="D325" s="61">
        <v>2362</v>
      </c>
    </row>
    <row r="326" spans="1:4" x14ac:dyDescent="0.75">
      <c r="A326" t="s">
        <v>96</v>
      </c>
      <c r="B326">
        <v>2562</v>
      </c>
      <c r="C326" s="65">
        <v>17</v>
      </c>
      <c r="D326" s="66">
        <v>95.55</v>
      </c>
    </row>
    <row r="327" spans="1:4" x14ac:dyDescent="0.75">
      <c r="A327" t="s">
        <v>58</v>
      </c>
      <c r="B327">
        <v>2563</v>
      </c>
      <c r="C327" s="8">
        <v>2375</v>
      </c>
      <c r="D327" s="61">
        <v>53720.52</v>
      </c>
    </row>
    <row r="328" spans="1:4" x14ac:dyDescent="0.75">
      <c r="A328" t="s">
        <v>62</v>
      </c>
      <c r="B328">
        <v>2563</v>
      </c>
      <c r="C328" s="4">
        <v>209</v>
      </c>
      <c r="D328" s="59">
        <v>6192.13</v>
      </c>
    </row>
    <row r="329" spans="1:4" x14ac:dyDescent="0.75">
      <c r="A329" t="s">
        <v>99</v>
      </c>
      <c r="B329">
        <v>2563</v>
      </c>
      <c r="C329" s="4">
        <v>92</v>
      </c>
      <c r="D329" s="59">
        <v>4602</v>
      </c>
    </row>
    <row r="330" spans="1:4" x14ac:dyDescent="0.75">
      <c r="A330" t="s">
        <v>72</v>
      </c>
      <c r="B330">
        <v>2563</v>
      </c>
      <c r="C330" s="4">
        <v>99</v>
      </c>
      <c r="D330" s="59">
        <v>2169.5</v>
      </c>
    </row>
    <row r="331" spans="1:4" x14ac:dyDescent="0.75">
      <c r="A331" t="s">
        <v>85</v>
      </c>
      <c r="B331">
        <v>2563</v>
      </c>
      <c r="C331" s="4">
        <v>224</v>
      </c>
      <c r="D331" s="59">
        <v>6339.5</v>
      </c>
    </row>
    <row r="332" spans="1:4" x14ac:dyDescent="0.75">
      <c r="A332" t="s">
        <v>66</v>
      </c>
      <c r="B332">
        <v>2563</v>
      </c>
      <c r="C332" s="4">
        <v>197</v>
      </c>
      <c r="D332" s="59">
        <v>6510</v>
      </c>
    </row>
    <row r="333" spans="1:4" x14ac:dyDescent="0.75">
      <c r="A333" t="s">
        <v>59</v>
      </c>
      <c r="B333">
        <v>2563</v>
      </c>
      <c r="C333" s="4">
        <v>334</v>
      </c>
      <c r="D333" s="59">
        <v>4123.75</v>
      </c>
    </row>
    <row r="334" spans="1:4" x14ac:dyDescent="0.75">
      <c r="A334" t="s">
        <v>117</v>
      </c>
      <c r="B334">
        <v>2563</v>
      </c>
      <c r="C334" s="4">
        <v>3</v>
      </c>
      <c r="D334" s="59">
        <v>22</v>
      </c>
    </row>
    <row r="335" spans="1:4" x14ac:dyDescent="0.75">
      <c r="A335" t="s">
        <v>97</v>
      </c>
      <c r="B335">
        <v>2563</v>
      </c>
      <c r="C335" s="4">
        <v>286</v>
      </c>
      <c r="D335" s="59">
        <v>2306</v>
      </c>
    </row>
    <row r="336" spans="1:4" x14ac:dyDescent="0.75">
      <c r="A336" t="s">
        <v>92</v>
      </c>
      <c r="B336">
        <v>2563</v>
      </c>
      <c r="C336" s="4">
        <v>33</v>
      </c>
      <c r="D336" s="59">
        <v>276</v>
      </c>
    </row>
    <row r="337" spans="1:4" x14ac:dyDescent="0.75">
      <c r="A337" t="s">
        <v>71</v>
      </c>
      <c r="B337">
        <v>2563</v>
      </c>
      <c r="C337" s="4">
        <v>105</v>
      </c>
      <c r="D337" s="59">
        <v>1631</v>
      </c>
    </row>
    <row r="338" spans="1:4" x14ac:dyDescent="0.75">
      <c r="A338" t="s">
        <v>83</v>
      </c>
      <c r="B338">
        <v>2563</v>
      </c>
      <c r="C338" s="4">
        <v>106</v>
      </c>
      <c r="D338" s="59">
        <v>1024.5</v>
      </c>
    </row>
    <row r="339" spans="1:4" x14ac:dyDescent="0.75">
      <c r="A339" t="s">
        <v>108</v>
      </c>
      <c r="B339">
        <v>2563</v>
      </c>
      <c r="C339" s="4">
        <v>9</v>
      </c>
      <c r="D339" s="59">
        <v>843</v>
      </c>
    </row>
    <row r="340" spans="1:4" x14ac:dyDescent="0.75">
      <c r="A340" t="s">
        <v>103</v>
      </c>
      <c r="B340">
        <v>2563</v>
      </c>
      <c r="C340" s="4">
        <v>2</v>
      </c>
      <c r="D340" s="59">
        <v>8</v>
      </c>
    </row>
    <row r="341" spans="1:4" x14ac:dyDescent="0.75">
      <c r="A341" t="s">
        <v>109</v>
      </c>
      <c r="B341">
        <v>2563</v>
      </c>
      <c r="C341" s="4">
        <v>63</v>
      </c>
      <c r="D341" s="59">
        <v>540</v>
      </c>
    </row>
    <row r="342" spans="1:4" x14ac:dyDescent="0.75">
      <c r="A342" t="s">
        <v>81</v>
      </c>
      <c r="B342">
        <v>2563</v>
      </c>
      <c r="C342" s="6">
        <v>140</v>
      </c>
      <c r="D342" s="60">
        <v>3167</v>
      </c>
    </row>
    <row r="343" spans="1:4" x14ac:dyDescent="0.75">
      <c r="A343" t="s">
        <v>112</v>
      </c>
      <c r="B343">
        <v>2563</v>
      </c>
      <c r="C343" s="8">
        <v>1</v>
      </c>
      <c r="D343" s="61">
        <v>9</v>
      </c>
    </row>
    <row r="344" spans="1:4" x14ac:dyDescent="0.75">
      <c r="A344" t="s">
        <v>118</v>
      </c>
      <c r="B344">
        <v>2563</v>
      </c>
      <c r="C344" s="8">
        <v>4</v>
      </c>
      <c r="D344" s="61">
        <v>20</v>
      </c>
    </row>
    <row r="345" spans="1:4" x14ac:dyDescent="0.75">
      <c r="A345" t="s">
        <v>106</v>
      </c>
      <c r="B345">
        <v>2563</v>
      </c>
      <c r="C345" s="8">
        <v>7</v>
      </c>
      <c r="D345" s="61">
        <v>343</v>
      </c>
    </row>
    <row r="346" spans="1:4" x14ac:dyDescent="0.75">
      <c r="A346" t="s">
        <v>75</v>
      </c>
      <c r="B346">
        <v>2563</v>
      </c>
      <c r="C346" s="8">
        <v>420</v>
      </c>
      <c r="D346" s="61">
        <v>11670</v>
      </c>
    </row>
    <row r="347" spans="1:4" x14ac:dyDescent="0.75">
      <c r="A347" t="s">
        <v>110</v>
      </c>
      <c r="B347">
        <v>2563</v>
      </c>
      <c r="C347" s="8">
        <v>9</v>
      </c>
      <c r="D347" s="61">
        <v>472</v>
      </c>
    </row>
    <row r="348" spans="1:4" x14ac:dyDescent="0.75">
      <c r="A348" t="s">
        <v>91</v>
      </c>
      <c r="B348">
        <v>2563</v>
      </c>
      <c r="C348" s="8">
        <v>54</v>
      </c>
      <c r="D348" s="61">
        <v>941.3</v>
      </c>
    </row>
    <row r="349" spans="1:4" x14ac:dyDescent="0.75">
      <c r="A349" t="s">
        <v>78</v>
      </c>
      <c r="B349">
        <v>2563</v>
      </c>
      <c r="C349" s="8">
        <v>33</v>
      </c>
      <c r="D349" s="61">
        <v>3008</v>
      </c>
    </row>
    <row r="350" spans="1:4" x14ac:dyDescent="0.75">
      <c r="A350" t="s">
        <v>116</v>
      </c>
      <c r="B350">
        <v>2563</v>
      </c>
      <c r="C350" s="8">
        <v>8</v>
      </c>
      <c r="D350" s="61">
        <v>217</v>
      </c>
    </row>
    <row r="351" spans="1:4" x14ac:dyDescent="0.75">
      <c r="A351" t="s">
        <v>76</v>
      </c>
      <c r="B351">
        <v>2563</v>
      </c>
      <c r="C351" s="8">
        <v>41</v>
      </c>
      <c r="D351" s="61">
        <v>1304</v>
      </c>
    </row>
    <row r="352" spans="1:4" x14ac:dyDescent="0.75">
      <c r="A352" t="s">
        <v>119</v>
      </c>
      <c r="B352">
        <v>2563</v>
      </c>
      <c r="C352" s="8">
        <v>0</v>
      </c>
      <c r="D352" s="61">
        <v>0</v>
      </c>
    </row>
    <row r="353" spans="1:4" x14ac:dyDescent="0.75">
      <c r="A353" t="s">
        <v>68</v>
      </c>
      <c r="B353">
        <v>2563</v>
      </c>
      <c r="C353" s="8">
        <v>234</v>
      </c>
      <c r="D353" s="61">
        <v>4471</v>
      </c>
    </row>
    <row r="354" spans="1:4" x14ac:dyDescent="0.75">
      <c r="A354" t="s">
        <v>135</v>
      </c>
      <c r="B354">
        <v>2563</v>
      </c>
      <c r="C354" s="8">
        <v>2</v>
      </c>
      <c r="D354" s="61">
        <v>80</v>
      </c>
    </row>
    <row r="355" spans="1:4" x14ac:dyDescent="0.75">
      <c r="A355" t="s">
        <v>79</v>
      </c>
      <c r="B355">
        <v>2563</v>
      </c>
      <c r="C355" s="8">
        <v>16</v>
      </c>
      <c r="D355" s="61">
        <v>105</v>
      </c>
    </row>
    <row r="356" spans="1:4" x14ac:dyDescent="0.75">
      <c r="A356" t="s">
        <v>111</v>
      </c>
      <c r="B356">
        <v>2563</v>
      </c>
      <c r="C356" s="8">
        <v>64</v>
      </c>
      <c r="D356" s="61">
        <v>3216</v>
      </c>
    </row>
    <row r="357" spans="1:4" x14ac:dyDescent="0.75">
      <c r="A357" t="s">
        <v>104</v>
      </c>
      <c r="B357">
        <v>2563</v>
      </c>
      <c r="C357" s="8">
        <v>31</v>
      </c>
      <c r="D357" s="61">
        <v>4432</v>
      </c>
    </row>
    <row r="358" spans="1:4" x14ac:dyDescent="0.75">
      <c r="A358" t="s">
        <v>121</v>
      </c>
      <c r="B358">
        <v>2563</v>
      </c>
      <c r="C358" s="8">
        <v>0</v>
      </c>
      <c r="D358" s="61">
        <v>0</v>
      </c>
    </row>
    <row r="359" spans="1:4" x14ac:dyDescent="0.75">
      <c r="A359" t="s">
        <v>64</v>
      </c>
      <c r="B359">
        <v>2563</v>
      </c>
      <c r="C359" s="8">
        <v>200</v>
      </c>
      <c r="D359" s="61">
        <v>4571</v>
      </c>
    </row>
    <row r="360" spans="1:4" x14ac:dyDescent="0.75">
      <c r="A360" t="s">
        <v>114</v>
      </c>
      <c r="B360">
        <v>2563</v>
      </c>
      <c r="C360" s="8">
        <v>0</v>
      </c>
      <c r="D360" s="61">
        <v>0</v>
      </c>
    </row>
    <row r="361" spans="1:4" x14ac:dyDescent="0.75">
      <c r="A361" t="s">
        <v>124</v>
      </c>
      <c r="B361">
        <v>2563</v>
      </c>
      <c r="C361" s="8">
        <v>0</v>
      </c>
      <c r="D361" s="61">
        <v>0</v>
      </c>
    </row>
    <row r="362" spans="1:4" x14ac:dyDescent="0.75">
      <c r="A362" t="s">
        <v>70</v>
      </c>
      <c r="B362">
        <v>2563</v>
      </c>
      <c r="C362" s="8">
        <v>174</v>
      </c>
      <c r="D362" s="61">
        <v>3049</v>
      </c>
    </row>
    <row r="363" spans="1:4" x14ac:dyDescent="0.75">
      <c r="A363" t="s">
        <v>125</v>
      </c>
      <c r="B363">
        <v>2563</v>
      </c>
      <c r="C363" s="8">
        <v>3</v>
      </c>
      <c r="D363" s="61">
        <v>101.11</v>
      </c>
    </row>
    <row r="364" spans="1:4" x14ac:dyDescent="0.75">
      <c r="A364" t="s">
        <v>87</v>
      </c>
      <c r="B364">
        <v>2563</v>
      </c>
      <c r="C364" s="8">
        <v>0</v>
      </c>
      <c r="D364" s="61">
        <v>0</v>
      </c>
    </row>
    <row r="365" spans="1:4" x14ac:dyDescent="0.75">
      <c r="A365" t="s">
        <v>93</v>
      </c>
      <c r="B365">
        <v>2563</v>
      </c>
      <c r="C365" s="8">
        <v>120</v>
      </c>
      <c r="D365" s="61">
        <v>1034.96</v>
      </c>
    </row>
    <row r="366" spans="1:4" x14ac:dyDescent="0.75">
      <c r="A366" t="s">
        <v>94</v>
      </c>
      <c r="B366">
        <v>2563</v>
      </c>
      <c r="C366" s="8">
        <v>0</v>
      </c>
      <c r="D366" s="61">
        <v>0</v>
      </c>
    </row>
    <row r="367" spans="1:4" x14ac:dyDescent="0.75">
      <c r="A367" t="s">
        <v>120</v>
      </c>
      <c r="B367">
        <v>2563</v>
      </c>
      <c r="C367" s="8">
        <v>0</v>
      </c>
      <c r="D367" s="61">
        <v>0</v>
      </c>
    </row>
    <row r="368" spans="1:4" x14ac:dyDescent="0.75">
      <c r="A368" t="s">
        <v>88</v>
      </c>
      <c r="B368">
        <v>2563</v>
      </c>
      <c r="C368" s="8">
        <v>47</v>
      </c>
      <c r="D368" s="61">
        <v>339.5</v>
      </c>
    </row>
    <row r="369" spans="1:4" x14ac:dyDescent="0.75">
      <c r="A369" t="s">
        <v>115</v>
      </c>
      <c r="B369">
        <v>2563</v>
      </c>
      <c r="C369" s="8">
        <v>4</v>
      </c>
      <c r="D369" s="61">
        <v>40.200000000000003</v>
      </c>
    </row>
    <row r="370" spans="1:4" x14ac:dyDescent="0.75">
      <c r="A370" t="s">
        <v>107</v>
      </c>
      <c r="B370">
        <v>2563</v>
      </c>
      <c r="C370" s="8">
        <v>7</v>
      </c>
      <c r="D370" s="61">
        <v>147</v>
      </c>
    </row>
    <row r="371" spans="1:4" x14ac:dyDescent="0.75">
      <c r="A371" t="s">
        <v>98</v>
      </c>
      <c r="B371">
        <v>2563</v>
      </c>
      <c r="C371" s="8">
        <v>88</v>
      </c>
      <c r="D371" s="61">
        <v>946</v>
      </c>
    </row>
    <row r="372" spans="1:4" x14ac:dyDescent="0.75">
      <c r="A372" t="s">
        <v>101</v>
      </c>
      <c r="B372">
        <v>2563</v>
      </c>
      <c r="C372" s="8">
        <v>11</v>
      </c>
      <c r="D372" s="61">
        <v>347</v>
      </c>
    </row>
    <row r="373" spans="1:4" x14ac:dyDescent="0.75">
      <c r="A373" t="s">
        <v>60</v>
      </c>
      <c r="B373">
        <v>2563</v>
      </c>
      <c r="C373" s="8">
        <v>541</v>
      </c>
      <c r="D373" s="61">
        <v>12896</v>
      </c>
    </row>
    <row r="374" spans="1:4" x14ac:dyDescent="0.75">
      <c r="A374" t="s">
        <v>61</v>
      </c>
      <c r="B374">
        <v>2563</v>
      </c>
      <c r="C374" s="8">
        <v>289</v>
      </c>
      <c r="D374" s="61">
        <v>10637</v>
      </c>
    </row>
    <row r="375" spans="1:4" x14ac:dyDescent="0.75">
      <c r="A375" t="s">
        <v>82</v>
      </c>
      <c r="B375">
        <v>2563</v>
      </c>
      <c r="C375" s="8">
        <v>57</v>
      </c>
      <c r="D375" s="61">
        <v>637.41</v>
      </c>
    </row>
    <row r="376" spans="1:4" x14ac:dyDescent="0.75">
      <c r="A376" t="s">
        <v>90</v>
      </c>
      <c r="B376">
        <v>2563</v>
      </c>
      <c r="C376" s="8">
        <v>130</v>
      </c>
      <c r="D376" s="61">
        <v>860.2</v>
      </c>
    </row>
    <row r="377" spans="1:4" x14ac:dyDescent="0.75">
      <c r="A377" t="s">
        <v>122</v>
      </c>
      <c r="B377">
        <v>2563</v>
      </c>
      <c r="C377" s="8">
        <v>5</v>
      </c>
      <c r="D377" s="61">
        <v>278</v>
      </c>
    </row>
    <row r="378" spans="1:4" x14ac:dyDescent="0.75">
      <c r="A378" t="s">
        <v>123</v>
      </c>
      <c r="B378">
        <v>2563</v>
      </c>
      <c r="C378" s="8">
        <v>3</v>
      </c>
      <c r="D378" s="61">
        <v>15.31</v>
      </c>
    </row>
    <row r="379" spans="1:4" x14ac:dyDescent="0.75">
      <c r="A379" t="s">
        <v>105</v>
      </c>
      <c r="B379">
        <v>2563</v>
      </c>
      <c r="C379" s="8">
        <v>5</v>
      </c>
      <c r="D379" s="61">
        <v>469</v>
      </c>
    </row>
    <row r="380" spans="1:4" x14ac:dyDescent="0.75">
      <c r="A380" t="s">
        <v>102</v>
      </c>
      <c r="B380">
        <v>2563</v>
      </c>
      <c r="C380" s="8">
        <v>46</v>
      </c>
      <c r="D380" s="61">
        <v>2187.3000000000002</v>
      </c>
    </row>
    <row r="381" spans="1:4" x14ac:dyDescent="0.75">
      <c r="A381" t="s">
        <v>74</v>
      </c>
      <c r="B381">
        <v>2563</v>
      </c>
      <c r="C381" s="8">
        <v>92</v>
      </c>
      <c r="D381" s="61">
        <v>4201</v>
      </c>
    </row>
    <row r="382" spans="1:4" x14ac:dyDescent="0.75">
      <c r="A382" t="s">
        <v>100</v>
      </c>
      <c r="B382">
        <v>2563</v>
      </c>
      <c r="C382" s="8">
        <v>45</v>
      </c>
      <c r="D382" s="61">
        <v>443</v>
      </c>
    </row>
    <row r="383" spans="1:4" x14ac:dyDescent="0.75">
      <c r="A383" t="s">
        <v>113</v>
      </c>
      <c r="B383">
        <v>2563</v>
      </c>
      <c r="C383" s="8">
        <v>9</v>
      </c>
      <c r="D383" s="61">
        <v>265</v>
      </c>
    </row>
    <row r="384" spans="1:4" x14ac:dyDescent="0.75">
      <c r="A384" t="s">
        <v>80</v>
      </c>
      <c r="B384">
        <v>2563</v>
      </c>
      <c r="C384" s="8">
        <v>43</v>
      </c>
      <c r="D384" s="61">
        <v>589.22</v>
      </c>
    </row>
    <row r="385" spans="1:4" x14ac:dyDescent="0.75">
      <c r="A385" t="s">
        <v>89</v>
      </c>
      <c r="B385">
        <v>2563</v>
      </c>
      <c r="C385" s="8">
        <v>18</v>
      </c>
      <c r="D385" s="61">
        <v>427</v>
      </c>
    </row>
    <row r="386" spans="1:4" x14ac:dyDescent="0.75">
      <c r="A386" t="s">
        <v>86</v>
      </c>
      <c r="B386">
        <v>2563</v>
      </c>
      <c r="C386" s="8">
        <v>14</v>
      </c>
      <c r="D386" s="61">
        <v>327</v>
      </c>
    </row>
    <row r="387" spans="1:4" x14ac:dyDescent="0.75">
      <c r="A387" t="s">
        <v>95</v>
      </c>
      <c r="B387">
        <v>2563</v>
      </c>
      <c r="C387" s="8">
        <v>37</v>
      </c>
      <c r="D387" s="61">
        <v>313.7</v>
      </c>
    </row>
    <row r="388" spans="1:4" x14ac:dyDescent="0.75">
      <c r="A388" t="s">
        <v>84</v>
      </c>
      <c r="B388">
        <v>2563</v>
      </c>
      <c r="C388" s="8">
        <v>94</v>
      </c>
      <c r="D388" s="61">
        <v>1198</v>
      </c>
    </row>
    <row r="389" spans="1:4" x14ac:dyDescent="0.75">
      <c r="A389" t="s">
        <v>73</v>
      </c>
      <c r="B389">
        <v>2563</v>
      </c>
      <c r="C389" s="8">
        <v>52</v>
      </c>
      <c r="D389" s="61">
        <v>630.70000000000005</v>
      </c>
    </row>
    <row r="390" spans="1:4" x14ac:dyDescent="0.75">
      <c r="A390" t="s">
        <v>77</v>
      </c>
      <c r="B390">
        <v>2563</v>
      </c>
      <c r="C390" s="8">
        <v>73</v>
      </c>
      <c r="D390" s="61">
        <v>2834</v>
      </c>
    </row>
    <row r="391" spans="1:4" x14ac:dyDescent="0.75">
      <c r="A391" t="s">
        <v>96</v>
      </c>
      <c r="B391">
        <v>2563</v>
      </c>
      <c r="C391" s="65">
        <v>142</v>
      </c>
      <c r="D391" s="66">
        <v>1265.6300000000001</v>
      </c>
    </row>
    <row r="392" spans="1:4" x14ac:dyDescent="0.75">
      <c r="A392" t="s">
        <v>58</v>
      </c>
      <c r="B392">
        <v>2564</v>
      </c>
      <c r="C392" s="8">
        <v>1305</v>
      </c>
      <c r="D392" s="61">
        <v>33369.699999999997</v>
      </c>
    </row>
    <row r="393" spans="1:4" x14ac:dyDescent="0.75">
      <c r="A393" t="s">
        <v>62</v>
      </c>
      <c r="B393">
        <v>2564</v>
      </c>
      <c r="C393" s="4">
        <v>43</v>
      </c>
      <c r="D393" s="59">
        <v>949.74</v>
      </c>
    </row>
    <row r="394" spans="1:4" x14ac:dyDescent="0.75">
      <c r="A394" t="s">
        <v>99</v>
      </c>
      <c r="B394">
        <v>2564</v>
      </c>
      <c r="C394" s="4">
        <v>17</v>
      </c>
      <c r="D394" s="59">
        <v>448</v>
      </c>
    </row>
    <row r="395" spans="1:4" x14ac:dyDescent="0.75">
      <c r="A395" t="s">
        <v>72</v>
      </c>
      <c r="B395">
        <v>2564</v>
      </c>
      <c r="C395" s="4">
        <v>39</v>
      </c>
      <c r="D395" s="59">
        <v>638.5</v>
      </c>
    </row>
    <row r="396" spans="1:4" x14ac:dyDescent="0.75">
      <c r="A396" t="s">
        <v>85</v>
      </c>
      <c r="B396">
        <v>2564</v>
      </c>
      <c r="C396" s="4">
        <v>95</v>
      </c>
      <c r="D396" s="59">
        <v>1458</v>
      </c>
    </row>
    <row r="397" spans="1:4" x14ac:dyDescent="0.75">
      <c r="A397" t="s">
        <v>66</v>
      </c>
      <c r="B397">
        <v>2564</v>
      </c>
      <c r="C397" s="4">
        <v>123</v>
      </c>
      <c r="D397" s="59">
        <v>2701</v>
      </c>
    </row>
    <row r="398" spans="1:4" x14ac:dyDescent="0.75">
      <c r="A398" t="s">
        <v>59</v>
      </c>
      <c r="B398">
        <v>2564</v>
      </c>
      <c r="C398" s="4">
        <v>248</v>
      </c>
      <c r="D398" s="59">
        <v>2715.75</v>
      </c>
    </row>
    <row r="399" spans="1:4" x14ac:dyDescent="0.75">
      <c r="A399" t="s">
        <v>117</v>
      </c>
      <c r="B399">
        <v>2564</v>
      </c>
      <c r="C399" s="4">
        <v>0</v>
      </c>
      <c r="D399" s="59">
        <v>0</v>
      </c>
    </row>
    <row r="400" spans="1:4" x14ac:dyDescent="0.75">
      <c r="A400" t="s">
        <v>97</v>
      </c>
      <c r="B400">
        <v>2564</v>
      </c>
      <c r="C400" s="4">
        <v>153</v>
      </c>
      <c r="D400" s="59">
        <v>1636.5</v>
      </c>
    </row>
    <row r="401" spans="1:4" x14ac:dyDescent="0.75">
      <c r="A401" t="s">
        <v>92</v>
      </c>
      <c r="B401">
        <v>2564</v>
      </c>
      <c r="C401" s="4">
        <v>26</v>
      </c>
      <c r="D401" s="59">
        <v>137</v>
      </c>
    </row>
    <row r="402" spans="1:4" x14ac:dyDescent="0.75">
      <c r="A402" t="s">
        <v>71</v>
      </c>
      <c r="B402">
        <v>2564</v>
      </c>
      <c r="C402" s="4">
        <v>45</v>
      </c>
      <c r="D402" s="59">
        <v>1175</v>
      </c>
    </row>
    <row r="403" spans="1:4" x14ac:dyDescent="0.75">
      <c r="A403" t="s">
        <v>83</v>
      </c>
      <c r="B403">
        <v>2564</v>
      </c>
      <c r="C403" s="4">
        <v>83</v>
      </c>
      <c r="D403" s="59">
        <v>1355</v>
      </c>
    </row>
    <row r="404" spans="1:4" x14ac:dyDescent="0.75">
      <c r="A404" t="s">
        <v>108</v>
      </c>
      <c r="B404">
        <v>2564</v>
      </c>
      <c r="C404" s="4">
        <v>0</v>
      </c>
      <c r="D404" s="59">
        <v>0</v>
      </c>
    </row>
    <row r="405" spans="1:4" x14ac:dyDescent="0.75">
      <c r="A405" t="s">
        <v>103</v>
      </c>
      <c r="B405">
        <v>2564</v>
      </c>
      <c r="C405" s="4">
        <v>1</v>
      </c>
      <c r="D405" s="59">
        <v>2</v>
      </c>
    </row>
    <row r="406" spans="1:4" x14ac:dyDescent="0.75">
      <c r="A406" t="s">
        <v>109</v>
      </c>
      <c r="B406">
        <v>2564</v>
      </c>
      <c r="C406" s="4">
        <v>54</v>
      </c>
      <c r="D406" s="59">
        <v>619</v>
      </c>
    </row>
    <row r="407" spans="1:4" x14ac:dyDescent="0.75">
      <c r="A407" t="s">
        <v>81</v>
      </c>
      <c r="B407">
        <v>2564</v>
      </c>
      <c r="C407" s="6">
        <v>83</v>
      </c>
      <c r="D407" s="60">
        <v>1932</v>
      </c>
    </row>
    <row r="408" spans="1:4" x14ac:dyDescent="0.75">
      <c r="A408" t="s">
        <v>112</v>
      </c>
      <c r="B408">
        <v>2564</v>
      </c>
      <c r="C408" s="8">
        <v>1</v>
      </c>
      <c r="D408" s="61">
        <v>1</v>
      </c>
    </row>
    <row r="409" spans="1:4" x14ac:dyDescent="0.75">
      <c r="A409" t="s">
        <v>118</v>
      </c>
      <c r="B409">
        <v>2564</v>
      </c>
      <c r="C409" s="8">
        <v>0</v>
      </c>
      <c r="D409" s="61">
        <v>0</v>
      </c>
    </row>
    <row r="410" spans="1:4" x14ac:dyDescent="0.75">
      <c r="A410" t="s">
        <v>106</v>
      </c>
      <c r="B410">
        <v>2564</v>
      </c>
      <c r="C410" s="8">
        <v>0</v>
      </c>
      <c r="D410" s="61">
        <v>0</v>
      </c>
    </row>
    <row r="411" spans="1:4" x14ac:dyDescent="0.75">
      <c r="A411" t="s">
        <v>75</v>
      </c>
      <c r="B411">
        <v>2564</v>
      </c>
      <c r="C411" s="8">
        <v>275</v>
      </c>
      <c r="D411" s="61">
        <v>13021</v>
      </c>
    </row>
    <row r="412" spans="1:4" x14ac:dyDescent="0.75">
      <c r="A412" t="s">
        <v>110</v>
      </c>
      <c r="B412">
        <v>2564</v>
      </c>
      <c r="C412" s="8">
        <v>0</v>
      </c>
      <c r="D412" s="61">
        <v>0</v>
      </c>
    </row>
    <row r="413" spans="1:4" x14ac:dyDescent="0.75">
      <c r="A413" t="s">
        <v>91</v>
      </c>
      <c r="B413">
        <v>2564</v>
      </c>
      <c r="C413" s="8">
        <v>25</v>
      </c>
      <c r="D413" s="61">
        <v>472.57</v>
      </c>
    </row>
    <row r="414" spans="1:4" x14ac:dyDescent="0.75">
      <c r="A414" t="s">
        <v>78</v>
      </c>
      <c r="B414">
        <v>2564</v>
      </c>
      <c r="C414" s="8">
        <v>12</v>
      </c>
      <c r="D414" s="61">
        <v>113</v>
      </c>
    </row>
    <row r="415" spans="1:4" x14ac:dyDescent="0.75">
      <c r="A415" t="s">
        <v>116</v>
      </c>
      <c r="B415">
        <v>2564</v>
      </c>
      <c r="C415" s="8">
        <v>0</v>
      </c>
      <c r="D415" s="61">
        <v>0</v>
      </c>
    </row>
    <row r="416" spans="1:4" x14ac:dyDescent="0.75">
      <c r="A416" t="s">
        <v>76</v>
      </c>
      <c r="B416">
        <v>2564</v>
      </c>
      <c r="C416" s="8">
        <v>40</v>
      </c>
      <c r="D416" s="61">
        <v>1016</v>
      </c>
    </row>
    <row r="417" spans="1:4" x14ac:dyDescent="0.75">
      <c r="A417" t="s">
        <v>119</v>
      </c>
      <c r="B417">
        <v>2564</v>
      </c>
      <c r="C417" s="8">
        <v>2</v>
      </c>
      <c r="D417" s="61">
        <v>44.5</v>
      </c>
    </row>
    <row r="418" spans="1:4" x14ac:dyDescent="0.75">
      <c r="A418" t="s">
        <v>68</v>
      </c>
      <c r="B418">
        <v>2564</v>
      </c>
      <c r="C418" s="8">
        <v>55</v>
      </c>
      <c r="D418" s="61">
        <v>1567</v>
      </c>
    </row>
    <row r="419" spans="1:4" x14ac:dyDescent="0.75">
      <c r="A419" t="s">
        <v>135</v>
      </c>
      <c r="B419">
        <v>2564</v>
      </c>
      <c r="C419" s="8">
        <v>5</v>
      </c>
      <c r="D419" s="61">
        <v>66.16</v>
      </c>
    </row>
    <row r="420" spans="1:4" x14ac:dyDescent="0.75">
      <c r="A420" t="s">
        <v>79</v>
      </c>
      <c r="B420">
        <v>2564</v>
      </c>
      <c r="C420" s="8">
        <v>5</v>
      </c>
      <c r="D420" s="61">
        <v>15</v>
      </c>
    </row>
    <row r="421" spans="1:4" x14ac:dyDescent="0.75">
      <c r="A421" t="s">
        <v>111</v>
      </c>
      <c r="B421">
        <v>2564</v>
      </c>
      <c r="C421" s="8">
        <v>21</v>
      </c>
      <c r="D421" s="61">
        <v>403</v>
      </c>
    </row>
    <row r="422" spans="1:4" x14ac:dyDescent="0.75">
      <c r="A422" t="s">
        <v>104</v>
      </c>
      <c r="B422">
        <v>2564</v>
      </c>
      <c r="C422" s="8">
        <v>4</v>
      </c>
      <c r="D422" s="61">
        <v>106</v>
      </c>
    </row>
    <row r="423" spans="1:4" x14ac:dyDescent="0.75">
      <c r="A423" t="s">
        <v>121</v>
      </c>
      <c r="B423">
        <v>2564</v>
      </c>
      <c r="C423" s="8">
        <v>0</v>
      </c>
      <c r="D423" s="61">
        <v>0</v>
      </c>
    </row>
    <row r="424" spans="1:4" x14ac:dyDescent="0.75">
      <c r="A424" t="s">
        <v>64</v>
      </c>
      <c r="B424">
        <v>2564</v>
      </c>
      <c r="C424" s="8">
        <v>116</v>
      </c>
      <c r="D424" s="61">
        <v>3622</v>
      </c>
    </row>
    <row r="425" spans="1:4" x14ac:dyDescent="0.75">
      <c r="A425" t="s">
        <v>114</v>
      </c>
      <c r="B425">
        <v>2564</v>
      </c>
      <c r="C425" s="8">
        <v>0</v>
      </c>
      <c r="D425" s="61">
        <v>0</v>
      </c>
    </row>
    <row r="426" spans="1:4" x14ac:dyDescent="0.75">
      <c r="A426" t="s">
        <v>124</v>
      </c>
      <c r="B426">
        <v>2564</v>
      </c>
      <c r="C426" s="8">
        <v>0</v>
      </c>
      <c r="D426" s="61">
        <v>0</v>
      </c>
    </row>
    <row r="427" spans="1:4" x14ac:dyDescent="0.75">
      <c r="A427" t="s">
        <v>70</v>
      </c>
      <c r="B427">
        <v>2564</v>
      </c>
      <c r="C427" s="8">
        <v>53</v>
      </c>
      <c r="D427" s="61">
        <v>903</v>
      </c>
    </row>
    <row r="428" spans="1:4" x14ac:dyDescent="0.75">
      <c r="A428" t="s">
        <v>125</v>
      </c>
      <c r="B428">
        <v>2564</v>
      </c>
      <c r="C428" s="8">
        <v>0</v>
      </c>
      <c r="D428" s="61">
        <v>0</v>
      </c>
    </row>
    <row r="429" spans="1:4" x14ac:dyDescent="0.75">
      <c r="A429" t="s">
        <v>87</v>
      </c>
      <c r="B429">
        <v>2564</v>
      </c>
      <c r="C429" s="8">
        <v>0</v>
      </c>
      <c r="D429" s="61">
        <v>0</v>
      </c>
    </row>
    <row r="430" spans="1:4" x14ac:dyDescent="0.75">
      <c r="A430" t="s">
        <v>93</v>
      </c>
      <c r="B430">
        <v>2564</v>
      </c>
      <c r="C430" s="8">
        <v>50</v>
      </c>
      <c r="D430" s="61">
        <v>462.99</v>
      </c>
    </row>
    <row r="431" spans="1:4" x14ac:dyDescent="0.75">
      <c r="A431" t="s">
        <v>94</v>
      </c>
      <c r="B431">
        <v>2564</v>
      </c>
      <c r="C431" s="8">
        <v>16</v>
      </c>
      <c r="D431" s="61">
        <v>163</v>
      </c>
    </row>
    <row r="432" spans="1:4" x14ac:dyDescent="0.75">
      <c r="A432" t="s">
        <v>120</v>
      </c>
      <c r="B432">
        <v>2564</v>
      </c>
      <c r="C432" s="8">
        <v>0</v>
      </c>
      <c r="D432" s="61">
        <v>0</v>
      </c>
    </row>
    <row r="433" spans="1:4" x14ac:dyDescent="0.75">
      <c r="A433" t="s">
        <v>88</v>
      </c>
      <c r="B433">
        <v>2564</v>
      </c>
      <c r="C433" s="8">
        <v>14</v>
      </c>
      <c r="D433" s="61">
        <v>136.75</v>
      </c>
    </row>
    <row r="434" spans="1:4" x14ac:dyDescent="0.75">
      <c r="A434" t="s">
        <v>115</v>
      </c>
      <c r="B434">
        <v>2564</v>
      </c>
      <c r="C434" s="8">
        <v>2</v>
      </c>
      <c r="D434" s="61">
        <v>15</v>
      </c>
    </row>
    <row r="435" spans="1:4" x14ac:dyDescent="0.75">
      <c r="A435" t="s">
        <v>107</v>
      </c>
      <c r="B435">
        <v>2564</v>
      </c>
      <c r="C435" s="8">
        <v>0</v>
      </c>
      <c r="D435" s="61">
        <v>0</v>
      </c>
    </row>
    <row r="436" spans="1:4" x14ac:dyDescent="0.75">
      <c r="A436" t="s">
        <v>98</v>
      </c>
      <c r="B436">
        <v>2564</v>
      </c>
      <c r="C436" s="8">
        <v>36</v>
      </c>
      <c r="D436" s="61">
        <v>470</v>
      </c>
    </row>
    <row r="437" spans="1:4" x14ac:dyDescent="0.75">
      <c r="A437" t="s">
        <v>101</v>
      </c>
      <c r="B437">
        <v>2564</v>
      </c>
      <c r="C437" s="8">
        <v>7</v>
      </c>
      <c r="D437" s="61">
        <v>147</v>
      </c>
    </row>
    <row r="438" spans="1:4" x14ac:dyDescent="0.75">
      <c r="A438" t="s">
        <v>60</v>
      </c>
      <c r="B438">
        <v>2564</v>
      </c>
      <c r="C438" s="8">
        <v>373</v>
      </c>
      <c r="D438" s="61">
        <v>7932</v>
      </c>
    </row>
    <row r="439" spans="1:4" x14ac:dyDescent="0.75">
      <c r="A439" t="s">
        <v>61</v>
      </c>
      <c r="B439">
        <v>2564</v>
      </c>
      <c r="C439" s="8">
        <v>255</v>
      </c>
      <c r="D439" s="61">
        <v>10198</v>
      </c>
    </row>
    <row r="440" spans="1:4" x14ac:dyDescent="0.75">
      <c r="A440" t="s">
        <v>82</v>
      </c>
      <c r="B440">
        <v>2564</v>
      </c>
      <c r="C440" s="8">
        <v>28</v>
      </c>
      <c r="D440" s="61">
        <v>280.02</v>
      </c>
    </row>
    <row r="441" spans="1:4" x14ac:dyDescent="0.75">
      <c r="A441" t="s">
        <v>90</v>
      </c>
      <c r="B441">
        <v>2564</v>
      </c>
      <c r="C441" s="8">
        <v>99</v>
      </c>
      <c r="D441" s="61">
        <v>650.20000000000005</v>
      </c>
    </row>
    <row r="442" spans="1:4" x14ac:dyDescent="0.75">
      <c r="A442" t="s">
        <v>122</v>
      </c>
      <c r="B442">
        <v>2564</v>
      </c>
      <c r="C442" s="8">
        <v>4</v>
      </c>
      <c r="D442" s="61">
        <v>420.5</v>
      </c>
    </row>
    <row r="443" spans="1:4" x14ac:dyDescent="0.75">
      <c r="A443" t="s">
        <v>123</v>
      </c>
      <c r="B443">
        <v>2564</v>
      </c>
      <c r="C443" s="8">
        <v>0</v>
      </c>
      <c r="D443" s="61">
        <v>0</v>
      </c>
    </row>
    <row r="444" spans="1:4" x14ac:dyDescent="0.75">
      <c r="A444" t="s">
        <v>105</v>
      </c>
      <c r="B444">
        <v>2564</v>
      </c>
      <c r="C444" s="8">
        <v>2</v>
      </c>
      <c r="D444" s="61">
        <v>65</v>
      </c>
    </row>
    <row r="445" spans="1:4" x14ac:dyDescent="0.75">
      <c r="A445" t="s">
        <v>102</v>
      </c>
      <c r="B445">
        <v>2564</v>
      </c>
      <c r="C445" s="8">
        <v>57</v>
      </c>
      <c r="D445" s="61">
        <v>996</v>
      </c>
    </row>
    <row r="446" spans="1:4" x14ac:dyDescent="0.75">
      <c r="A446" t="s">
        <v>74</v>
      </c>
      <c r="B446">
        <v>2564</v>
      </c>
      <c r="C446" s="8">
        <v>144</v>
      </c>
      <c r="D446" s="61">
        <v>3511</v>
      </c>
    </row>
    <row r="447" spans="1:4" x14ac:dyDescent="0.75">
      <c r="A447" t="s">
        <v>100</v>
      </c>
      <c r="B447">
        <v>2564</v>
      </c>
      <c r="C447" s="8">
        <v>31</v>
      </c>
      <c r="D447" s="61">
        <v>366</v>
      </c>
    </row>
    <row r="448" spans="1:4" x14ac:dyDescent="0.75">
      <c r="A448" t="s">
        <v>113</v>
      </c>
      <c r="B448">
        <v>2564</v>
      </c>
      <c r="C448" s="8">
        <v>4</v>
      </c>
      <c r="D448" s="61">
        <v>31.5</v>
      </c>
    </row>
    <row r="449" spans="1:4" x14ac:dyDescent="0.75">
      <c r="A449" t="s">
        <v>80</v>
      </c>
      <c r="B449">
        <v>2564</v>
      </c>
      <c r="C449" s="8">
        <v>5</v>
      </c>
      <c r="D449" s="61">
        <v>35</v>
      </c>
    </row>
    <row r="450" spans="1:4" x14ac:dyDescent="0.75">
      <c r="A450" t="s">
        <v>89</v>
      </c>
      <c r="B450">
        <v>2564</v>
      </c>
      <c r="C450" s="8">
        <v>9</v>
      </c>
      <c r="D450" s="61">
        <v>163</v>
      </c>
    </row>
    <row r="451" spans="1:4" x14ac:dyDescent="0.75">
      <c r="A451" t="s">
        <v>86</v>
      </c>
      <c r="B451">
        <v>2564</v>
      </c>
      <c r="C451" s="8">
        <v>52</v>
      </c>
      <c r="D451" s="61">
        <v>1595</v>
      </c>
    </row>
    <row r="452" spans="1:4" x14ac:dyDescent="0.75">
      <c r="A452" t="s">
        <v>95</v>
      </c>
      <c r="B452">
        <v>2564</v>
      </c>
      <c r="C452" s="8">
        <v>18</v>
      </c>
      <c r="D452" s="61">
        <v>181</v>
      </c>
    </row>
    <row r="453" spans="1:4" x14ac:dyDescent="0.75">
      <c r="A453" t="s">
        <v>84</v>
      </c>
      <c r="B453">
        <v>2564</v>
      </c>
      <c r="C453" s="8">
        <v>22</v>
      </c>
      <c r="D453" s="61">
        <v>284.20999999999998</v>
      </c>
    </row>
    <row r="454" spans="1:4" x14ac:dyDescent="0.75">
      <c r="A454" t="s">
        <v>73</v>
      </c>
      <c r="B454">
        <v>2564</v>
      </c>
      <c r="C454" s="8">
        <v>29</v>
      </c>
      <c r="D454" s="61">
        <v>340</v>
      </c>
    </row>
    <row r="455" spans="1:4" x14ac:dyDescent="0.75">
      <c r="A455" t="s">
        <v>77</v>
      </c>
      <c r="B455">
        <v>2564</v>
      </c>
      <c r="C455" s="8">
        <v>29</v>
      </c>
      <c r="D455" s="61">
        <v>758</v>
      </c>
    </row>
    <row r="456" spans="1:4" x14ac:dyDescent="0.75">
      <c r="A456" t="s">
        <v>96</v>
      </c>
      <c r="B456">
        <v>2564</v>
      </c>
      <c r="C456" s="65">
        <v>96</v>
      </c>
      <c r="D456" s="66">
        <v>1015.73</v>
      </c>
    </row>
    <row r="457" spans="1:4" x14ac:dyDescent="0.75">
      <c r="A457" t="s">
        <v>58</v>
      </c>
      <c r="B457">
        <v>2565</v>
      </c>
      <c r="C457" s="8">
        <v>802</v>
      </c>
      <c r="D457" s="61">
        <v>11241.07</v>
      </c>
    </row>
    <row r="458" spans="1:4" x14ac:dyDescent="0.75">
      <c r="A458" t="s">
        <v>62</v>
      </c>
      <c r="B458">
        <v>2565</v>
      </c>
      <c r="C458" s="4">
        <v>36</v>
      </c>
      <c r="D458" s="59">
        <v>638.26</v>
      </c>
    </row>
    <row r="459" spans="1:4" x14ac:dyDescent="0.75">
      <c r="A459" t="s">
        <v>99</v>
      </c>
      <c r="B459">
        <v>2565</v>
      </c>
      <c r="C459" s="4">
        <v>2</v>
      </c>
      <c r="D459" s="59">
        <v>16</v>
      </c>
    </row>
    <row r="460" spans="1:4" x14ac:dyDescent="0.75">
      <c r="A460" t="s">
        <v>72</v>
      </c>
      <c r="B460">
        <v>2565</v>
      </c>
      <c r="C460" s="4">
        <v>7</v>
      </c>
      <c r="D460" s="59">
        <v>52</v>
      </c>
    </row>
    <row r="461" spans="1:4" x14ac:dyDescent="0.75">
      <c r="A461" t="s">
        <v>85</v>
      </c>
      <c r="B461">
        <v>2565</v>
      </c>
      <c r="C461" s="4">
        <v>18</v>
      </c>
      <c r="D461" s="59">
        <v>254</v>
      </c>
    </row>
    <row r="462" spans="1:4" x14ac:dyDescent="0.75">
      <c r="A462" t="s">
        <v>66</v>
      </c>
      <c r="B462">
        <v>2565</v>
      </c>
      <c r="C462" s="4">
        <v>76</v>
      </c>
      <c r="D462" s="59">
        <v>1118</v>
      </c>
    </row>
    <row r="463" spans="1:4" x14ac:dyDescent="0.75">
      <c r="A463" t="s">
        <v>59</v>
      </c>
      <c r="B463">
        <v>2565</v>
      </c>
      <c r="C463" s="4">
        <v>182</v>
      </c>
      <c r="D463" s="59">
        <v>1693</v>
      </c>
    </row>
    <row r="464" spans="1:4" x14ac:dyDescent="0.75">
      <c r="A464" t="s">
        <v>117</v>
      </c>
      <c r="B464">
        <v>2565</v>
      </c>
      <c r="C464" s="4">
        <v>0</v>
      </c>
      <c r="D464" s="59">
        <v>0</v>
      </c>
    </row>
    <row r="465" spans="1:4" x14ac:dyDescent="0.75">
      <c r="A465" t="s">
        <v>97</v>
      </c>
      <c r="B465">
        <v>2565</v>
      </c>
      <c r="C465" s="4">
        <v>58</v>
      </c>
      <c r="D465" s="59">
        <v>529</v>
      </c>
    </row>
    <row r="466" spans="1:4" x14ac:dyDescent="0.75">
      <c r="A466" t="s">
        <v>92</v>
      </c>
      <c r="B466">
        <v>2565</v>
      </c>
      <c r="C466" s="4">
        <v>30</v>
      </c>
      <c r="D466" s="59">
        <v>125</v>
      </c>
    </row>
    <row r="467" spans="1:4" x14ac:dyDescent="0.75">
      <c r="A467" t="s">
        <v>71</v>
      </c>
      <c r="B467">
        <v>2565</v>
      </c>
      <c r="C467" s="4">
        <v>8</v>
      </c>
      <c r="D467" s="59">
        <v>283</v>
      </c>
    </row>
    <row r="468" spans="1:4" x14ac:dyDescent="0.75">
      <c r="A468" t="s">
        <v>83</v>
      </c>
      <c r="B468">
        <v>2565</v>
      </c>
      <c r="C468" s="4">
        <v>33</v>
      </c>
      <c r="D468" s="59">
        <v>441</v>
      </c>
    </row>
    <row r="469" spans="1:4" x14ac:dyDescent="0.75">
      <c r="A469" t="s">
        <v>108</v>
      </c>
      <c r="B469">
        <v>2565</v>
      </c>
      <c r="C469" s="4">
        <v>0</v>
      </c>
      <c r="D469" s="59">
        <v>0</v>
      </c>
    </row>
    <row r="470" spans="1:4" x14ac:dyDescent="0.75">
      <c r="A470" t="s">
        <v>103</v>
      </c>
      <c r="B470">
        <v>2565</v>
      </c>
      <c r="C470" s="4">
        <v>0</v>
      </c>
      <c r="D470" s="59">
        <v>0</v>
      </c>
    </row>
    <row r="471" spans="1:4" x14ac:dyDescent="0.75">
      <c r="A471" t="s">
        <v>109</v>
      </c>
      <c r="B471">
        <v>2565</v>
      </c>
      <c r="C471" s="4">
        <v>31</v>
      </c>
      <c r="D471" s="59">
        <v>390</v>
      </c>
    </row>
    <row r="472" spans="1:4" x14ac:dyDescent="0.75">
      <c r="A472" t="s">
        <v>81</v>
      </c>
      <c r="B472">
        <v>2565</v>
      </c>
      <c r="C472" s="6">
        <v>61</v>
      </c>
      <c r="D472" s="60">
        <v>1545</v>
      </c>
    </row>
    <row r="473" spans="1:4" x14ac:dyDescent="0.75">
      <c r="A473" t="s">
        <v>112</v>
      </c>
      <c r="B473">
        <v>2565</v>
      </c>
      <c r="C473" s="8">
        <v>0</v>
      </c>
      <c r="D473" s="61">
        <v>0</v>
      </c>
    </row>
    <row r="474" spans="1:4" x14ac:dyDescent="0.75">
      <c r="A474" t="s">
        <v>118</v>
      </c>
      <c r="B474">
        <v>2565</v>
      </c>
      <c r="C474" s="8">
        <v>0</v>
      </c>
      <c r="D474" s="61">
        <v>0</v>
      </c>
    </row>
    <row r="475" spans="1:4" x14ac:dyDescent="0.75">
      <c r="A475" t="s">
        <v>106</v>
      </c>
      <c r="B475">
        <v>2565</v>
      </c>
      <c r="C475" s="8">
        <v>0</v>
      </c>
      <c r="D475" s="61">
        <v>0</v>
      </c>
    </row>
    <row r="476" spans="1:4" x14ac:dyDescent="0.75">
      <c r="A476" t="s">
        <v>75</v>
      </c>
      <c r="B476">
        <v>2565</v>
      </c>
      <c r="C476" s="8">
        <v>65</v>
      </c>
      <c r="D476" s="61">
        <v>1195</v>
      </c>
    </row>
    <row r="477" spans="1:4" x14ac:dyDescent="0.75">
      <c r="A477" t="s">
        <v>110</v>
      </c>
      <c r="B477">
        <v>2565</v>
      </c>
      <c r="C477" s="8">
        <v>1</v>
      </c>
      <c r="D477" s="61">
        <v>2</v>
      </c>
    </row>
    <row r="478" spans="1:4" x14ac:dyDescent="0.75">
      <c r="A478" t="s">
        <v>91</v>
      </c>
      <c r="B478">
        <v>2565</v>
      </c>
      <c r="C478" s="8">
        <v>47</v>
      </c>
      <c r="D478" s="61">
        <v>541</v>
      </c>
    </row>
    <row r="479" spans="1:4" x14ac:dyDescent="0.75">
      <c r="A479" t="s">
        <v>78</v>
      </c>
      <c r="B479">
        <v>2565</v>
      </c>
      <c r="C479" s="8">
        <v>28</v>
      </c>
      <c r="D479" s="61">
        <v>1109</v>
      </c>
    </row>
    <row r="480" spans="1:4" x14ac:dyDescent="0.75">
      <c r="A480" t="s">
        <v>116</v>
      </c>
      <c r="B480">
        <v>2565</v>
      </c>
      <c r="C480" s="8">
        <v>0</v>
      </c>
      <c r="D480" s="61">
        <v>0</v>
      </c>
    </row>
    <row r="481" spans="1:4" x14ac:dyDescent="0.75">
      <c r="A481" t="s">
        <v>76</v>
      </c>
      <c r="B481">
        <v>2565</v>
      </c>
      <c r="C481" s="8">
        <v>3</v>
      </c>
      <c r="D481" s="61">
        <v>70</v>
      </c>
    </row>
    <row r="482" spans="1:4" x14ac:dyDescent="0.75">
      <c r="A482" t="s">
        <v>119</v>
      </c>
      <c r="B482">
        <v>2565</v>
      </c>
      <c r="C482" s="8">
        <v>0</v>
      </c>
      <c r="D482" s="61">
        <v>0</v>
      </c>
    </row>
    <row r="483" spans="1:4" x14ac:dyDescent="0.75">
      <c r="A483" t="s">
        <v>68</v>
      </c>
      <c r="B483">
        <v>2565</v>
      </c>
      <c r="C483" s="8">
        <v>39</v>
      </c>
      <c r="D483" s="61">
        <v>986</v>
      </c>
    </row>
    <row r="484" spans="1:4" x14ac:dyDescent="0.75">
      <c r="A484" t="s">
        <v>135</v>
      </c>
      <c r="B484">
        <v>2565</v>
      </c>
      <c r="C484" s="8">
        <v>3</v>
      </c>
      <c r="D484" s="61">
        <v>5.75</v>
      </c>
    </row>
    <row r="485" spans="1:4" x14ac:dyDescent="0.75">
      <c r="A485" t="s">
        <v>79</v>
      </c>
      <c r="B485">
        <v>2565</v>
      </c>
      <c r="C485" s="8">
        <v>2</v>
      </c>
      <c r="D485" s="61">
        <v>23</v>
      </c>
    </row>
    <row r="486" spans="1:4" x14ac:dyDescent="0.75">
      <c r="A486" t="s">
        <v>111</v>
      </c>
      <c r="B486">
        <v>2565</v>
      </c>
      <c r="C486" s="8">
        <v>6</v>
      </c>
      <c r="D486" s="61">
        <v>36</v>
      </c>
    </row>
    <row r="487" spans="1:4" x14ac:dyDescent="0.75">
      <c r="A487" t="s">
        <v>104</v>
      </c>
      <c r="B487">
        <v>2565</v>
      </c>
      <c r="C487" s="8">
        <v>7</v>
      </c>
      <c r="D487" s="61">
        <v>520</v>
      </c>
    </row>
    <row r="488" spans="1:4" x14ac:dyDescent="0.75">
      <c r="A488" t="s">
        <v>121</v>
      </c>
      <c r="B488">
        <v>2565</v>
      </c>
      <c r="C488" s="8">
        <v>0</v>
      </c>
      <c r="D488" s="61">
        <v>0</v>
      </c>
    </row>
    <row r="489" spans="1:4" x14ac:dyDescent="0.75">
      <c r="A489" t="s">
        <v>64</v>
      </c>
      <c r="B489">
        <v>2565</v>
      </c>
      <c r="C489" s="8">
        <v>32</v>
      </c>
      <c r="D489" s="61">
        <v>745</v>
      </c>
    </row>
    <row r="490" spans="1:4" x14ac:dyDescent="0.75">
      <c r="A490" t="s">
        <v>114</v>
      </c>
      <c r="B490">
        <v>2565</v>
      </c>
      <c r="C490" s="8">
        <v>0</v>
      </c>
      <c r="D490" s="61">
        <v>0</v>
      </c>
    </row>
    <row r="491" spans="1:4" x14ac:dyDescent="0.75">
      <c r="A491" t="s">
        <v>124</v>
      </c>
      <c r="B491">
        <v>2565</v>
      </c>
      <c r="C491" s="8">
        <v>0</v>
      </c>
      <c r="D491" s="61">
        <v>0</v>
      </c>
    </row>
    <row r="492" spans="1:4" x14ac:dyDescent="0.75">
      <c r="A492" t="s">
        <v>70</v>
      </c>
      <c r="B492">
        <v>2565</v>
      </c>
      <c r="C492" s="8">
        <v>18</v>
      </c>
      <c r="D492" s="61">
        <v>373</v>
      </c>
    </row>
    <row r="493" spans="1:4" x14ac:dyDescent="0.75">
      <c r="A493" t="s">
        <v>125</v>
      </c>
      <c r="B493">
        <v>2565</v>
      </c>
      <c r="C493" s="8">
        <v>0</v>
      </c>
      <c r="D493" s="61">
        <v>0</v>
      </c>
    </row>
    <row r="494" spans="1:4" x14ac:dyDescent="0.75">
      <c r="A494" t="s">
        <v>87</v>
      </c>
      <c r="B494">
        <v>2565</v>
      </c>
      <c r="C494" s="8">
        <v>0</v>
      </c>
      <c r="D494" s="61">
        <v>0</v>
      </c>
    </row>
    <row r="495" spans="1:4" x14ac:dyDescent="0.75">
      <c r="A495" t="s">
        <v>93</v>
      </c>
      <c r="B495">
        <v>2565</v>
      </c>
      <c r="C495" s="8">
        <v>57</v>
      </c>
      <c r="D495" s="61">
        <v>438.23</v>
      </c>
    </row>
    <row r="496" spans="1:4" x14ac:dyDescent="0.75">
      <c r="A496" t="s">
        <v>94</v>
      </c>
      <c r="B496">
        <v>2565</v>
      </c>
      <c r="C496" s="8">
        <v>17</v>
      </c>
      <c r="D496" s="61">
        <v>173</v>
      </c>
    </row>
    <row r="497" spans="1:4" x14ac:dyDescent="0.75">
      <c r="A497" t="s">
        <v>120</v>
      </c>
      <c r="B497">
        <v>2565</v>
      </c>
      <c r="C497" s="8">
        <v>0</v>
      </c>
      <c r="D497" s="61">
        <v>0</v>
      </c>
    </row>
    <row r="498" spans="1:4" x14ac:dyDescent="0.75">
      <c r="A498" t="s">
        <v>88</v>
      </c>
      <c r="B498">
        <v>2565</v>
      </c>
      <c r="C498" s="8">
        <v>24</v>
      </c>
      <c r="D498" s="61">
        <v>171</v>
      </c>
    </row>
    <row r="499" spans="1:4" x14ac:dyDescent="0.75">
      <c r="A499" t="s">
        <v>115</v>
      </c>
      <c r="B499">
        <v>2565</v>
      </c>
      <c r="C499" s="8">
        <v>0</v>
      </c>
      <c r="D499" s="61">
        <v>0</v>
      </c>
    </row>
    <row r="500" spans="1:4" x14ac:dyDescent="0.75">
      <c r="A500" t="s">
        <v>107</v>
      </c>
      <c r="B500">
        <v>2565</v>
      </c>
      <c r="C500" s="8">
        <v>1</v>
      </c>
      <c r="D500" s="61">
        <v>3</v>
      </c>
    </row>
    <row r="501" spans="1:4" x14ac:dyDescent="0.75">
      <c r="A501" t="s">
        <v>98</v>
      </c>
      <c r="B501">
        <v>2565</v>
      </c>
      <c r="C501" s="8">
        <v>1</v>
      </c>
      <c r="D501" s="61">
        <v>10</v>
      </c>
    </row>
    <row r="502" spans="1:4" x14ac:dyDescent="0.75">
      <c r="A502" t="s">
        <v>101</v>
      </c>
      <c r="B502">
        <v>2565</v>
      </c>
      <c r="C502" s="8">
        <v>0</v>
      </c>
      <c r="D502" s="61">
        <v>0</v>
      </c>
    </row>
    <row r="503" spans="1:4" x14ac:dyDescent="0.75">
      <c r="A503" t="s">
        <v>60</v>
      </c>
      <c r="B503">
        <v>2565</v>
      </c>
      <c r="C503" s="8">
        <v>152</v>
      </c>
      <c r="D503" s="61">
        <v>2937</v>
      </c>
    </row>
    <row r="504" spans="1:4" x14ac:dyDescent="0.75">
      <c r="A504" t="s">
        <v>61</v>
      </c>
      <c r="B504">
        <v>2565</v>
      </c>
      <c r="C504" s="8">
        <v>184</v>
      </c>
      <c r="D504" s="61">
        <v>5298</v>
      </c>
    </row>
    <row r="505" spans="1:4" x14ac:dyDescent="0.75">
      <c r="A505" t="s">
        <v>82</v>
      </c>
      <c r="B505">
        <v>2565</v>
      </c>
      <c r="C505" s="8">
        <v>8</v>
      </c>
      <c r="D505" s="61">
        <v>78.849999999999994</v>
      </c>
    </row>
    <row r="506" spans="1:4" x14ac:dyDescent="0.75">
      <c r="A506" t="s">
        <v>90</v>
      </c>
      <c r="B506">
        <v>2565</v>
      </c>
      <c r="C506" s="8">
        <v>74</v>
      </c>
      <c r="D506" s="61">
        <v>373</v>
      </c>
    </row>
    <row r="507" spans="1:4" x14ac:dyDescent="0.75">
      <c r="A507" t="s">
        <v>122</v>
      </c>
      <c r="B507">
        <v>2565</v>
      </c>
      <c r="C507" s="8">
        <v>0</v>
      </c>
      <c r="D507" s="61">
        <v>0</v>
      </c>
    </row>
    <row r="508" spans="1:4" x14ac:dyDescent="0.75">
      <c r="A508" t="s">
        <v>123</v>
      </c>
      <c r="B508">
        <v>2565</v>
      </c>
      <c r="C508" s="8">
        <v>0</v>
      </c>
      <c r="D508" s="61">
        <v>0</v>
      </c>
    </row>
    <row r="509" spans="1:4" x14ac:dyDescent="0.75">
      <c r="A509" t="s">
        <v>105</v>
      </c>
      <c r="B509">
        <v>2565</v>
      </c>
      <c r="C509" s="8">
        <v>0</v>
      </c>
      <c r="D509" s="61">
        <v>0</v>
      </c>
    </row>
    <row r="510" spans="1:4" x14ac:dyDescent="0.75">
      <c r="A510" t="s">
        <v>102</v>
      </c>
      <c r="B510">
        <v>2565</v>
      </c>
      <c r="C510" s="8">
        <v>23</v>
      </c>
      <c r="D510" s="61">
        <v>475</v>
      </c>
    </row>
    <row r="511" spans="1:4" x14ac:dyDescent="0.75">
      <c r="A511" t="s">
        <v>74</v>
      </c>
      <c r="B511">
        <v>2565</v>
      </c>
      <c r="C511" s="8">
        <v>1</v>
      </c>
      <c r="D511" s="61">
        <v>40</v>
      </c>
    </row>
    <row r="512" spans="1:4" x14ac:dyDescent="0.75">
      <c r="A512" t="s">
        <v>100</v>
      </c>
      <c r="B512">
        <v>2565</v>
      </c>
      <c r="C512" s="8">
        <v>8</v>
      </c>
      <c r="D512" s="61">
        <v>51</v>
      </c>
    </row>
    <row r="513" spans="1:4" x14ac:dyDescent="0.75">
      <c r="A513" t="s">
        <v>113</v>
      </c>
      <c r="B513">
        <v>2565</v>
      </c>
      <c r="C513" s="8">
        <v>0</v>
      </c>
      <c r="D513" s="61">
        <v>0</v>
      </c>
    </row>
    <row r="514" spans="1:4" x14ac:dyDescent="0.75">
      <c r="A514" t="s">
        <v>80</v>
      </c>
      <c r="B514">
        <v>2565</v>
      </c>
      <c r="C514" s="8">
        <v>4</v>
      </c>
      <c r="D514" s="61">
        <v>23</v>
      </c>
    </row>
    <row r="515" spans="1:4" x14ac:dyDescent="0.75">
      <c r="A515" t="s">
        <v>89</v>
      </c>
      <c r="B515">
        <v>2565</v>
      </c>
      <c r="C515" s="8">
        <v>1</v>
      </c>
      <c r="D515" s="61">
        <v>15</v>
      </c>
    </row>
    <row r="516" spans="1:4" x14ac:dyDescent="0.75">
      <c r="A516" t="s">
        <v>86</v>
      </c>
      <c r="B516">
        <v>2565</v>
      </c>
      <c r="C516" s="8">
        <v>84</v>
      </c>
      <c r="D516" s="61">
        <v>2611</v>
      </c>
    </row>
    <row r="517" spans="1:4" x14ac:dyDescent="0.75">
      <c r="A517" t="s">
        <v>95</v>
      </c>
      <c r="B517">
        <v>2565</v>
      </c>
      <c r="C517" s="8">
        <v>17</v>
      </c>
      <c r="D517" s="61">
        <v>166</v>
      </c>
    </row>
    <row r="518" spans="1:4" x14ac:dyDescent="0.75">
      <c r="A518" t="s">
        <v>84</v>
      </c>
      <c r="B518">
        <v>2565</v>
      </c>
      <c r="C518" s="8">
        <v>28</v>
      </c>
      <c r="D518" s="61">
        <v>498</v>
      </c>
    </row>
    <row r="519" spans="1:4" x14ac:dyDescent="0.75">
      <c r="A519" t="s">
        <v>73</v>
      </c>
      <c r="B519">
        <v>2565</v>
      </c>
      <c r="C519" s="8">
        <v>28</v>
      </c>
      <c r="D519" s="61">
        <v>286</v>
      </c>
    </row>
    <row r="520" spans="1:4" x14ac:dyDescent="0.75">
      <c r="A520" t="s">
        <v>77</v>
      </c>
      <c r="B520">
        <v>2565</v>
      </c>
      <c r="C520" s="8">
        <v>1</v>
      </c>
      <c r="D520" s="61">
        <v>5</v>
      </c>
    </row>
    <row r="521" spans="1:4" x14ac:dyDescent="0.75">
      <c r="A521" t="s">
        <v>96</v>
      </c>
      <c r="B521">
        <v>2565</v>
      </c>
      <c r="C521" s="8">
        <v>59</v>
      </c>
      <c r="D521" s="61">
        <v>618.41999999999996</v>
      </c>
    </row>
    <row r="522" spans="1:4" x14ac:dyDescent="0.75">
      <c r="A522" t="s">
        <v>58</v>
      </c>
      <c r="B522">
        <v>2566</v>
      </c>
      <c r="C522" s="8">
        <v>1767</v>
      </c>
      <c r="D522" s="61">
        <v>43265.91</v>
      </c>
    </row>
    <row r="523" spans="1:4" x14ac:dyDescent="0.75">
      <c r="A523" t="s">
        <v>62</v>
      </c>
      <c r="B523">
        <v>2566</v>
      </c>
      <c r="C523" s="4">
        <v>296</v>
      </c>
      <c r="D523" s="59">
        <v>7280.67</v>
      </c>
    </row>
    <row r="524" spans="1:4" x14ac:dyDescent="0.75">
      <c r="A524" t="s">
        <v>99</v>
      </c>
      <c r="B524">
        <v>2566</v>
      </c>
      <c r="C524" s="4">
        <v>77</v>
      </c>
      <c r="D524" s="59">
        <v>1576</v>
      </c>
    </row>
    <row r="525" spans="1:4" x14ac:dyDescent="0.75">
      <c r="A525" t="s">
        <v>72</v>
      </c>
      <c r="B525">
        <v>2566</v>
      </c>
      <c r="C525" s="4">
        <v>81</v>
      </c>
      <c r="D525" s="59">
        <v>1261</v>
      </c>
    </row>
    <row r="526" spans="1:4" x14ac:dyDescent="0.75">
      <c r="A526" t="s">
        <v>85</v>
      </c>
      <c r="B526">
        <v>2566</v>
      </c>
      <c r="C526" s="4">
        <v>260</v>
      </c>
      <c r="D526" s="59">
        <v>5510</v>
      </c>
    </row>
    <row r="527" spans="1:4" x14ac:dyDescent="0.75">
      <c r="A527" t="s">
        <v>66</v>
      </c>
      <c r="B527">
        <v>2566</v>
      </c>
      <c r="C527" s="4">
        <v>73</v>
      </c>
      <c r="D527" s="59">
        <v>732</v>
      </c>
    </row>
    <row r="528" spans="1:4" x14ac:dyDescent="0.75">
      <c r="A528" t="s">
        <v>59</v>
      </c>
      <c r="B528">
        <v>2566</v>
      </c>
      <c r="C528" s="4">
        <v>300</v>
      </c>
      <c r="D528" s="59">
        <v>2734.25</v>
      </c>
    </row>
    <row r="529" spans="1:4" x14ac:dyDescent="0.75">
      <c r="A529" t="s">
        <v>117</v>
      </c>
      <c r="B529">
        <v>2566</v>
      </c>
      <c r="C529" s="4">
        <v>0</v>
      </c>
      <c r="D529" s="59">
        <v>0</v>
      </c>
    </row>
    <row r="530" spans="1:4" x14ac:dyDescent="0.75">
      <c r="A530" t="s">
        <v>97</v>
      </c>
      <c r="B530">
        <v>2566</v>
      </c>
      <c r="C530" s="4">
        <v>246</v>
      </c>
      <c r="D530" s="59">
        <v>2329</v>
      </c>
    </row>
    <row r="531" spans="1:4" x14ac:dyDescent="0.75">
      <c r="A531" t="s">
        <v>92</v>
      </c>
      <c r="B531">
        <v>2566</v>
      </c>
      <c r="C531" s="4">
        <v>49</v>
      </c>
      <c r="D531" s="59">
        <v>265</v>
      </c>
    </row>
    <row r="532" spans="1:4" x14ac:dyDescent="0.75">
      <c r="A532" t="s">
        <v>71</v>
      </c>
      <c r="B532">
        <v>2566</v>
      </c>
      <c r="C532" s="4">
        <v>279</v>
      </c>
      <c r="D532" s="59">
        <v>10580</v>
      </c>
    </row>
    <row r="533" spans="1:4" x14ac:dyDescent="0.75">
      <c r="A533" t="s">
        <v>83</v>
      </c>
      <c r="B533">
        <v>2566</v>
      </c>
      <c r="C533" s="4">
        <v>109</v>
      </c>
      <c r="D533" s="59">
        <v>1219</v>
      </c>
    </row>
    <row r="534" spans="1:4" x14ac:dyDescent="0.75">
      <c r="A534" t="s">
        <v>108</v>
      </c>
      <c r="B534">
        <v>2566</v>
      </c>
      <c r="C534" s="4">
        <v>4</v>
      </c>
      <c r="D534" s="59">
        <v>41</v>
      </c>
    </row>
    <row r="535" spans="1:4" x14ac:dyDescent="0.75">
      <c r="A535" t="s">
        <v>103</v>
      </c>
      <c r="B535">
        <v>2566</v>
      </c>
      <c r="C535" s="4">
        <v>2</v>
      </c>
      <c r="D535" s="59">
        <v>3</v>
      </c>
    </row>
    <row r="536" spans="1:4" x14ac:dyDescent="0.75">
      <c r="A536" t="s">
        <v>109</v>
      </c>
      <c r="B536">
        <v>2566</v>
      </c>
      <c r="C536" s="4">
        <v>37</v>
      </c>
      <c r="D536" s="59">
        <v>349</v>
      </c>
    </row>
    <row r="537" spans="1:4" x14ac:dyDescent="0.75">
      <c r="A537" t="s">
        <v>81</v>
      </c>
      <c r="B537">
        <v>2566</v>
      </c>
      <c r="C537" s="6">
        <v>121</v>
      </c>
      <c r="D537" s="60">
        <v>3937</v>
      </c>
    </row>
    <row r="538" spans="1:4" x14ac:dyDescent="0.75">
      <c r="A538" t="s">
        <v>112</v>
      </c>
      <c r="B538">
        <v>2566</v>
      </c>
      <c r="C538" s="8">
        <v>0</v>
      </c>
      <c r="D538" s="61">
        <v>0</v>
      </c>
    </row>
    <row r="539" spans="1:4" x14ac:dyDescent="0.75">
      <c r="A539" t="s">
        <v>118</v>
      </c>
      <c r="B539">
        <v>2566</v>
      </c>
      <c r="C539" s="8">
        <v>0</v>
      </c>
      <c r="D539" s="61">
        <v>0</v>
      </c>
    </row>
    <row r="540" spans="1:4" x14ac:dyDescent="0.75">
      <c r="A540" t="s">
        <v>106</v>
      </c>
      <c r="B540">
        <v>2566</v>
      </c>
      <c r="C540" s="8">
        <v>1</v>
      </c>
      <c r="D540" s="61">
        <v>10</v>
      </c>
    </row>
    <row r="541" spans="1:4" x14ac:dyDescent="0.75">
      <c r="A541" t="s">
        <v>75</v>
      </c>
      <c r="B541">
        <v>2566</v>
      </c>
      <c r="C541" s="8">
        <v>337</v>
      </c>
      <c r="D541" s="61">
        <v>12123</v>
      </c>
    </row>
    <row r="542" spans="1:4" x14ac:dyDescent="0.75">
      <c r="A542" t="s">
        <v>110</v>
      </c>
      <c r="B542">
        <v>2566</v>
      </c>
      <c r="C542" s="8">
        <v>5</v>
      </c>
      <c r="D542" s="61">
        <v>758</v>
      </c>
    </row>
    <row r="543" spans="1:4" x14ac:dyDescent="0.75">
      <c r="A543" t="s">
        <v>91</v>
      </c>
      <c r="B543">
        <v>2566</v>
      </c>
      <c r="C543" s="8">
        <v>95</v>
      </c>
      <c r="D543" s="61">
        <v>760</v>
      </c>
    </row>
    <row r="544" spans="1:4" x14ac:dyDescent="0.75">
      <c r="A544" t="s">
        <v>78</v>
      </c>
      <c r="B544">
        <v>2566</v>
      </c>
      <c r="C544" s="8">
        <v>34</v>
      </c>
      <c r="D544" s="61">
        <v>1987</v>
      </c>
    </row>
    <row r="545" spans="1:4" x14ac:dyDescent="0.75">
      <c r="A545" t="s">
        <v>116</v>
      </c>
      <c r="B545">
        <v>2566</v>
      </c>
      <c r="C545" s="8">
        <v>28</v>
      </c>
      <c r="D545" s="61">
        <v>10346.81</v>
      </c>
    </row>
    <row r="546" spans="1:4" x14ac:dyDescent="0.75">
      <c r="A546" t="s">
        <v>76</v>
      </c>
      <c r="B546">
        <v>2566</v>
      </c>
      <c r="C546" s="8">
        <v>50</v>
      </c>
      <c r="D546" s="61">
        <v>3020</v>
      </c>
    </row>
    <row r="547" spans="1:4" x14ac:dyDescent="0.75">
      <c r="A547" t="s">
        <v>119</v>
      </c>
      <c r="B547">
        <v>2566</v>
      </c>
      <c r="C547" s="8">
        <v>0</v>
      </c>
      <c r="D547" s="61">
        <v>0</v>
      </c>
    </row>
    <row r="548" spans="1:4" x14ac:dyDescent="0.75">
      <c r="A548" t="s">
        <v>68</v>
      </c>
      <c r="B548">
        <v>2566</v>
      </c>
      <c r="C548" s="8">
        <v>200</v>
      </c>
      <c r="D548" s="61">
        <v>3477</v>
      </c>
    </row>
    <row r="549" spans="1:4" x14ac:dyDescent="0.75">
      <c r="A549" t="s">
        <v>135</v>
      </c>
      <c r="B549">
        <v>2566</v>
      </c>
      <c r="C549" s="8">
        <v>13</v>
      </c>
      <c r="D549" s="61">
        <v>368.13</v>
      </c>
    </row>
    <row r="550" spans="1:4" x14ac:dyDescent="0.75">
      <c r="A550" t="s">
        <v>79</v>
      </c>
      <c r="B550">
        <v>2566</v>
      </c>
      <c r="C550" s="8">
        <v>15</v>
      </c>
      <c r="D550" s="61">
        <v>114</v>
      </c>
    </row>
    <row r="551" spans="1:4" x14ac:dyDescent="0.75">
      <c r="A551" t="s">
        <v>111</v>
      </c>
      <c r="B551">
        <v>2566</v>
      </c>
      <c r="C551" s="8">
        <v>70</v>
      </c>
      <c r="D551" s="61">
        <v>2541</v>
      </c>
    </row>
    <row r="552" spans="1:4" x14ac:dyDescent="0.75">
      <c r="A552" t="s">
        <v>104</v>
      </c>
      <c r="B552">
        <v>2566</v>
      </c>
      <c r="C552" s="8">
        <v>20</v>
      </c>
      <c r="D552" s="61">
        <v>1438</v>
      </c>
    </row>
    <row r="553" spans="1:4" x14ac:dyDescent="0.75">
      <c r="A553" t="s">
        <v>121</v>
      </c>
      <c r="B553">
        <v>2566</v>
      </c>
      <c r="C553" s="8">
        <v>0</v>
      </c>
      <c r="D553" s="61">
        <v>0</v>
      </c>
    </row>
    <row r="554" spans="1:4" x14ac:dyDescent="0.75">
      <c r="A554" t="s">
        <v>64</v>
      </c>
      <c r="B554">
        <v>2566</v>
      </c>
      <c r="C554" s="8">
        <v>217</v>
      </c>
      <c r="D554" s="61">
        <v>3755.5</v>
      </c>
    </row>
    <row r="555" spans="1:4" x14ac:dyDescent="0.75">
      <c r="A555" t="s">
        <v>114</v>
      </c>
      <c r="B555">
        <v>2566</v>
      </c>
      <c r="C555" s="8">
        <v>0</v>
      </c>
      <c r="D555" s="61">
        <v>0</v>
      </c>
    </row>
    <row r="556" spans="1:4" x14ac:dyDescent="0.75">
      <c r="A556" t="s">
        <v>124</v>
      </c>
      <c r="B556">
        <v>2566</v>
      </c>
      <c r="C556" s="8">
        <v>6</v>
      </c>
      <c r="D556" s="61">
        <v>75</v>
      </c>
    </row>
    <row r="557" spans="1:4" x14ac:dyDescent="0.75">
      <c r="A557" t="s">
        <v>70</v>
      </c>
      <c r="B557">
        <v>2566</v>
      </c>
      <c r="C557" s="8">
        <v>137</v>
      </c>
      <c r="D557" s="61">
        <v>3787.25</v>
      </c>
    </row>
    <row r="558" spans="1:4" x14ac:dyDescent="0.75">
      <c r="A558" t="s">
        <v>125</v>
      </c>
      <c r="B558">
        <v>2566</v>
      </c>
      <c r="C558" s="8">
        <v>0</v>
      </c>
      <c r="D558" s="61">
        <v>0</v>
      </c>
    </row>
    <row r="559" spans="1:4" x14ac:dyDescent="0.75">
      <c r="A559" t="s">
        <v>87</v>
      </c>
      <c r="B559">
        <v>2566</v>
      </c>
      <c r="C559" s="8">
        <v>0</v>
      </c>
      <c r="D559" s="61">
        <v>0</v>
      </c>
    </row>
    <row r="560" spans="1:4" x14ac:dyDescent="0.75">
      <c r="A560" t="s">
        <v>93</v>
      </c>
      <c r="B560">
        <v>2566</v>
      </c>
      <c r="C560" s="8">
        <v>76</v>
      </c>
      <c r="D560" s="61">
        <v>585.41999999999996</v>
      </c>
    </row>
    <row r="561" spans="1:4" x14ac:dyDescent="0.75">
      <c r="A561" t="s">
        <v>94</v>
      </c>
      <c r="B561">
        <v>2566</v>
      </c>
      <c r="C561" s="8">
        <v>29</v>
      </c>
      <c r="D561" s="61">
        <v>223</v>
      </c>
    </row>
    <row r="562" spans="1:4" x14ac:dyDescent="0.75">
      <c r="A562" t="s">
        <v>120</v>
      </c>
      <c r="B562">
        <v>2566</v>
      </c>
      <c r="C562" s="8">
        <v>0</v>
      </c>
      <c r="D562" s="61">
        <v>0</v>
      </c>
    </row>
    <row r="563" spans="1:4" x14ac:dyDescent="0.75">
      <c r="A563" t="s">
        <v>88</v>
      </c>
      <c r="B563">
        <v>2566</v>
      </c>
      <c r="C563" s="8">
        <v>31</v>
      </c>
      <c r="D563" s="61">
        <v>358</v>
      </c>
    </row>
    <row r="564" spans="1:4" x14ac:dyDescent="0.75">
      <c r="A564" t="s">
        <v>115</v>
      </c>
      <c r="B564">
        <v>2566</v>
      </c>
      <c r="C564" s="8">
        <v>0</v>
      </c>
      <c r="D564" s="61">
        <v>0</v>
      </c>
    </row>
    <row r="565" spans="1:4" x14ac:dyDescent="0.75">
      <c r="A565" t="s">
        <v>107</v>
      </c>
      <c r="B565">
        <v>2566</v>
      </c>
      <c r="C565" s="8">
        <v>4</v>
      </c>
      <c r="D565" s="61">
        <v>153</v>
      </c>
    </row>
    <row r="566" spans="1:4" x14ac:dyDescent="0.75">
      <c r="A566" t="s">
        <v>98</v>
      </c>
      <c r="B566">
        <v>2566</v>
      </c>
      <c r="C566" s="8">
        <v>80</v>
      </c>
      <c r="D566" s="61">
        <v>681</v>
      </c>
    </row>
    <row r="567" spans="1:4" x14ac:dyDescent="0.75">
      <c r="A567" t="s">
        <v>101</v>
      </c>
      <c r="B567">
        <v>2566</v>
      </c>
      <c r="C567" s="8">
        <v>6</v>
      </c>
      <c r="D567" s="61">
        <v>157</v>
      </c>
    </row>
    <row r="568" spans="1:4" x14ac:dyDescent="0.75">
      <c r="A568" t="s">
        <v>60</v>
      </c>
      <c r="B568">
        <v>2566</v>
      </c>
      <c r="C568" s="8">
        <v>500</v>
      </c>
      <c r="D568" s="61">
        <v>12065</v>
      </c>
    </row>
    <row r="569" spans="1:4" x14ac:dyDescent="0.75">
      <c r="A569" t="s">
        <v>61</v>
      </c>
      <c r="B569">
        <v>2566</v>
      </c>
      <c r="C569" s="8">
        <v>291</v>
      </c>
      <c r="D569" s="61">
        <v>9468</v>
      </c>
    </row>
    <row r="570" spans="1:4" x14ac:dyDescent="0.75">
      <c r="A570" t="s">
        <v>82</v>
      </c>
      <c r="B570">
        <v>2566</v>
      </c>
      <c r="C570" s="8">
        <v>31</v>
      </c>
      <c r="D570" s="61">
        <v>428.67</v>
      </c>
    </row>
    <row r="571" spans="1:4" x14ac:dyDescent="0.75">
      <c r="A571" t="s">
        <v>90</v>
      </c>
      <c r="B571">
        <v>2566</v>
      </c>
      <c r="C571" s="8">
        <v>115</v>
      </c>
      <c r="D571" s="61">
        <v>1343.1</v>
      </c>
    </row>
    <row r="572" spans="1:4" x14ac:dyDescent="0.75">
      <c r="A572" t="s">
        <v>122</v>
      </c>
      <c r="B572">
        <v>2566</v>
      </c>
      <c r="C572" s="8">
        <v>2</v>
      </c>
      <c r="D572" s="61">
        <v>17</v>
      </c>
    </row>
    <row r="573" spans="1:4" x14ac:dyDescent="0.75">
      <c r="A573" t="s">
        <v>123</v>
      </c>
      <c r="B573">
        <v>2566</v>
      </c>
      <c r="C573" s="8">
        <v>0</v>
      </c>
      <c r="D573" s="61">
        <v>0</v>
      </c>
    </row>
    <row r="574" spans="1:4" x14ac:dyDescent="0.75">
      <c r="A574" t="s">
        <v>105</v>
      </c>
      <c r="B574">
        <v>2566</v>
      </c>
      <c r="C574" s="8">
        <v>9</v>
      </c>
      <c r="D574" s="61">
        <v>325</v>
      </c>
    </row>
    <row r="575" spans="1:4" x14ac:dyDescent="0.75">
      <c r="A575" t="s">
        <v>102</v>
      </c>
      <c r="B575">
        <v>2566</v>
      </c>
      <c r="C575" s="8">
        <v>51</v>
      </c>
      <c r="D575" s="61">
        <v>1071.75</v>
      </c>
    </row>
    <row r="576" spans="1:4" x14ac:dyDescent="0.75">
      <c r="A576" t="s">
        <v>74</v>
      </c>
      <c r="B576">
        <v>2566</v>
      </c>
      <c r="C576" s="8">
        <v>80</v>
      </c>
      <c r="D576" s="61">
        <v>2651</v>
      </c>
    </row>
    <row r="577" spans="1:4" x14ac:dyDescent="0.75">
      <c r="A577" t="s">
        <v>100</v>
      </c>
      <c r="B577">
        <v>2566</v>
      </c>
      <c r="C577" s="8">
        <v>11</v>
      </c>
      <c r="D577" s="61">
        <v>71</v>
      </c>
    </row>
    <row r="578" spans="1:4" x14ac:dyDescent="0.75">
      <c r="A578" t="s">
        <v>113</v>
      </c>
      <c r="B578">
        <v>2566</v>
      </c>
      <c r="C578" s="8">
        <v>0</v>
      </c>
      <c r="D578" s="61">
        <v>0</v>
      </c>
    </row>
    <row r="579" spans="1:4" x14ac:dyDescent="0.75">
      <c r="A579" t="s">
        <v>80</v>
      </c>
      <c r="B579">
        <v>2566</v>
      </c>
      <c r="C579" s="8">
        <v>26</v>
      </c>
      <c r="D579" s="61">
        <v>237.6</v>
      </c>
    </row>
    <row r="580" spans="1:4" x14ac:dyDescent="0.75">
      <c r="A580" t="s">
        <v>89</v>
      </c>
      <c r="B580">
        <v>2566</v>
      </c>
      <c r="C580" s="8">
        <v>71</v>
      </c>
      <c r="D580" s="61">
        <v>1908</v>
      </c>
    </row>
    <row r="581" spans="1:4" x14ac:dyDescent="0.75">
      <c r="A581" t="s">
        <v>86</v>
      </c>
      <c r="B581">
        <v>2566</v>
      </c>
      <c r="C581" s="8">
        <v>58</v>
      </c>
      <c r="D581" s="61">
        <v>1529</v>
      </c>
    </row>
    <row r="582" spans="1:4" x14ac:dyDescent="0.75">
      <c r="A582" t="s">
        <v>95</v>
      </c>
      <c r="B582">
        <v>2566</v>
      </c>
      <c r="C582" s="8">
        <v>40</v>
      </c>
      <c r="D582" s="61">
        <v>268</v>
      </c>
    </row>
    <row r="583" spans="1:4" x14ac:dyDescent="0.75">
      <c r="A583" t="s">
        <v>84</v>
      </c>
      <c r="B583">
        <v>2566</v>
      </c>
      <c r="C583" s="8">
        <v>108</v>
      </c>
      <c r="D583" s="61">
        <v>3265</v>
      </c>
    </row>
    <row r="584" spans="1:4" x14ac:dyDescent="0.75">
      <c r="A584" t="s">
        <v>73</v>
      </c>
      <c r="B584">
        <v>2566</v>
      </c>
      <c r="C584" s="8">
        <v>32</v>
      </c>
      <c r="D584" s="61">
        <v>373</v>
      </c>
    </row>
    <row r="585" spans="1:4" x14ac:dyDescent="0.75">
      <c r="A585" t="s">
        <v>77</v>
      </c>
      <c r="B585">
        <v>2566</v>
      </c>
      <c r="C585" s="8">
        <v>523</v>
      </c>
      <c r="D585" s="61">
        <v>22039</v>
      </c>
    </row>
    <row r="586" spans="1:4" x14ac:dyDescent="0.75">
      <c r="A586" t="s">
        <v>96</v>
      </c>
      <c r="B586">
        <v>2566</v>
      </c>
      <c r="C586" s="8">
        <v>126</v>
      </c>
      <c r="D586" s="61">
        <v>1118.4100000000001</v>
      </c>
    </row>
  </sheetData>
  <autoFilter ref="A1:D586" xr:uid="{00000000-0009-0000-0000-000000000000}">
    <sortState xmlns:xlrd2="http://schemas.microsoft.com/office/spreadsheetml/2017/richdata2" ref="A2:D586">
      <sortCondition ref="B1:B58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32"/>
  <sheetViews>
    <sheetView workbookViewId="0">
      <pane xSplit="2" ySplit="5" topLeftCell="AB12" activePane="bottomRight" state="frozenSplit"/>
      <selection activeCell="B11" sqref="B11"/>
      <selection pane="topRight" activeCell="B11" sqref="B11"/>
      <selection pane="bottomLeft" activeCell="B11" sqref="B11"/>
      <selection pane="bottomRight" activeCell="AO15" sqref="AO15"/>
    </sheetView>
  </sheetViews>
  <sheetFormatPr defaultColWidth="8.69921875" defaultRowHeight="26.25" customHeight="1" x14ac:dyDescent="0.7"/>
  <cols>
    <col min="1" max="1" width="3.59765625" style="1" customWidth="1"/>
    <col min="2" max="2" width="15.3984375" style="1" customWidth="1"/>
    <col min="3" max="3" width="8.19921875" style="1" hidden="1" customWidth="1"/>
    <col min="4" max="4" width="8.19921875" style="58" hidden="1" customWidth="1"/>
    <col min="5" max="5" width="8.19921875" style="1" hidden="1" customWidth="1"/>
    <col min="6" max="6" width="8.19921875" style="58" hidden="1" customWidth="1"/>
    <col min="7" max="7" width="8.19921875" style="1" hidden="1" customWidth="1"/>
    <col min="8" max="8" width="8.19921875" style="58" hidden="1" customWidth="1"/>
    <col min="9" max="9" width="8.19921875" style="1" customWidth="1"/>
    <col min="10" max="10" width="8.19921875" style="58" customWidth="1"/>
    <col min="11" max="11" width="8.19921875" style="1" customWidth="1"/>
    <col min="12" max="12" width="8.19921875" style="58" customWidth="1"/>
    <col min="13" max="13" width="8.19921875" style="1" customWidth="1"/>
    <col min="14" max="14" width="8.19921875" style="58" customWidth="1"/>
    <col min="15" max="15" width="8.19921875" style="1" customWidth="1"/>
    <col min="16" max="16" width="8.19921875" style="58" customWidth="1"/>
    <col min="17" max="17" width="8.19921875" style="1" customWidth="1"/>
    <col min="18" max="18" width="8.19921875" style="58" customWidth="1"/>
    <col min="19" max="19" width="8.19921875" style="1" customWidth="1"/>
    <col min="20" max="20" width="8.19921875" style="58" customWidth="1"/>
    <col min="21" max="21" width="9" style="1" customWidth="1"/>
    <col min="22" max="22" width="9" style="58" customWidth="1"/>
    <col min="23" max="23" width="9" style="1" customWidth="1"/>
    <col min="24" max="24" width="9" style="58" customWidth="1"/>
    <col min="25" max="25" width="9" style="1" customWidth="1"/>
    <col min="26" max="26" width="9" style="58" customWidth="1"/>
    <col min="27" max="27" width="9" style="1" customWidth="1"/>
    <col min="28" max="28" width="9" style="58" customWidth="1"/>
    <col min="29" max="29" width="9" style="1" customWidth="1"/>
    <col min="30" max="30" width="9" style="62" customWidth="1"/>
    <col min="31" max="31" width="9" style="1" customWidth="1"/>
    <col min="32" max="32" width="9" style="62" customWidth="1"/>
    <col min="33" max="33" width="9" style="1" customWidth="1"/>
    <col min="34" max="34" width="9" style="62" customWidth="1"/>
    <col min="35" max="35" width="9" style="1" customWidth="1"/>
    <col min="36" max="36" width="9" style="62" customWidth="1"/>
    <col min="37" max="37" width="8.69921875" style="1" customWidth="1"/>
    <col min="38" max="38" width="8.69921875" style="1"/>
    <col min="39" max="40" width="9.09765625" style="1" customWidth="1"/>
    <col min="41" max="16384" width="8.69921875" style="1"/>
  </cols>
  <sheetData>
    <row r="1" spans="1:52" ht="36" customHeight="1" x14ac:dyDescent="0.7">
      <c r="A1" s="49" t="s">
        <v>148</v>
      </c>
      <c r="B1" s="48"/>
      <c r="C1" s="48"/>
      <c r="D1" s="54"/>
      <c r="E1" s="48"/>
      <c r="F1" s="54"/>
      <c r="G1" s="48"/>
      <c r="H1" s="54"/>
      <c r="I1" s="48"/>
      <c r="J1" s="54"/>
      <c r="K1" s="48"/>
      <c r="L1" s="54"/>
      <c r="M1" s="48"/>
      <c r="N1" s="54"/>
      <c r="O1" s="48"/>
      <c r="P1" s="54"/>
      <c r="Q1" s="48"/>
      <c r="R1" s="54"/>
      <c r="S1" s="48"/>
      <c r="T1" s="54"/>
    </row>
    <row r="3" spans="1:52" s="10" customFormat="1" ht="26.25" customHeight="1" x14ac:dyDescent="0.7">
      <c r="A3" s="67"/>
      <c r="B3" s="68"/>
      <c r="C3" s="85" t="s">
        <v>0</v>
      </c>
      <c r="D3" s="86"/>
      <c r="E3" s="85" t="s">
        <v>1</v>
      </c>
      <c r="F3" s="86"/>
      <c r="G3" s="85" t="s">
        <v>2</v>
      </c>
      <c r="H3" s="86"/>
      <c r="I3" s="85" t="s">
        <v>24</v>
      </c>
      <c r="J3" s="86"/>
      <c r="K3" s="85" t="s">
        <v>25</v>
      </c>
      <c r="L3" s="86"/>
      <c r="M3" s="85" t="s">
        <v>29</v>
      </c>
      <c r="N3" s="86"/>
      <c r="O3" s="85" t="s">
        <v>30</v>
      </c>
      <c r="P3" s="86"/>
      <c r="Q3" s="85" t="s">
        <v>31</v>
      </c>
      <c r="R3" s="86"/>
      <c r="S3" s="85" t="s">
        <v>56</v>
      </c>
      <c r="T3" s="86"/>
      <c r="U3" s="85" t="s">
        <v>129</v>
      </c>
      <c r="V3" s="86"/>
      <c r="W3" s="83" t="s">
        <v>130</v>
      </c>
      <c r="X3" s="84"/>
      <c r="Y3" s="83" t="s">
        <v>131</v>
      </c>
      <c r="Z3" s="84"/>
      <c r="AA3" s="83" t="s">
        <v>132</v>
      </c>
      <c r="AB3" s="84"/>
      <c r="AC3" s="83" t="s">
        <v>133</v>
      </c>
      <c r="AD3" s="84"/>
      <c r="AE3" s="83" t="s">
        <v>134</v>
      </c>
      <c r="AF3" s="84"/>
      <c r="AG3" s="83" t="s">
        <v>136</v>
      </c>
      <c r="AH3" s="84"/>
      <c r="AI3" s="83" t="s">
        <v>137</v>
      </c>
      <c r="AJ3" s="84"/>
      <c r="AK3" s="83" t="s">
        <v>138</v>
      </c>
      <c r="AL3" s="84"/>
      <c r="AM3" s="83" t="s">
        <v>143</v>
      </c>
      <c r="AN3" s="84"/>
      <c r="AO3" s="83" t="s">
        <v>146</v>
      </c>
      <c r="AP3" s="84"/>
      <c r="AQ3" s="83" t="s">
        <v>149</v>
      </c>
      <c r="AR3" s="84"/>
    </row>
    <row r="4" spans="1:52" s="10" customFormat="1" ht="26.25" customHeight="1" x14ac:dyDescent="0.7">
      <c r="A4" s="81" t="s">
        <v>57</v>
      </c>
      <c r="B4" s="82"/>
      <c r="C4" s="69" t="s">
        <v>128</v>
      </c>
      <c r="D4" s="70" t="s">
        <v>126</v>
      </c>
      <c r="E4" s="69" t="s">
        <v>128</v>
      </c>
      <c r="F4" s="70" t="s">
        <v>126</v>
      </c>
      <c r="G4" s="69" t="s">
        <v>128</v>
      </c>
      <c r="H4" s="70" t="s">
        <v>126</v>
      </c>
      <c r="I4" s="69" t="s">
        <v>128</v>
      </c>
      <c r="J4" s="70" t="s">
        <v>126</v>
      </c>
      <c r="K4" s="69" t="s">
        <v>128</v>
      </c>
      <c r="L4" s="70" t="s">
        <v>126</v>
      </c>
      <c r="M4" s="69" t="s">
        <v>128</v>
      </c>
      <c r="N4" s="70" t="s">
        <v>126</v>
      </c>
      <c r="O4" s="69" t="s">
        <v>128</v>
      </c>
      <c r="P4" s="70" t="s">
        <v>126</v>
      </c>
      <c r="Q4" s="69" t="s">
        <v>128</v>
      </c>
      <c r="R4" s="70" t="s">
        <v>126</v>
      </c>
      <c r="S4" s="69" t="s">
        <v>128</v>
      </c>
      <c r="T4" s="70" t="s">
        <v>126</v>
      </c>
      <c r="U4" s="69" t="s">
        <v>128</v>
      </c>
      <c r="V4" s="70" t="s">
        <v>126</v>
      </c>
      <c r="W4" s="69" t="s">
        <v>128</v>
      </c>
      <c r="X4" s="70" t="s">
        <v>126</v>
      </c>
      <c r="Y4" s="69" t="s">
        <v>128</v>
      </c>
      <c r="Z4" s="70" t="s">
        <v>126</v>
      </c>
      <c r="AA4" s="69" t="s">
        <v>128</v>
      </c>
      <c r="AB4" s="70" t="s">
        <v>126</v>
      </c>
      <c r="AC4" s="69" t="s">
        <v>128</v>
      </c>
      <c r="AD4" s="70" t="s">
        <v>126</v>
      </c>
      <c r="AE4" s="69" t="s">
        <v>128</v>
      </c>
      <c r="AF4" s="70" t="s">
        <v>126</v>
      </c>
      <c r="AG4" s="69" t="s">
        <v>128</v>
      </c>
      <c r="AH4" s="70" t="s">
        <v>126</v>
      </c>
      <c r="AI4" s="69" t="s">
        <v>128</v>
      </c>
      <c r="AJ4" s="70" t="s">
        <v>126</v>
      </c>
      <c r="AK4" s="69" t="s">
        <v>128</v>
      </c>
      <c r="AL4" s="70" t="s">
        <v>126</v>
      </c>
      <c r="AM4" s="69" t="s">
        <v>128</v>
      </c>
      <c r="AN4" s="70" t="s">
        <v>126</v>
      </c>
      <c r="AO4" s="69" t="s">
        <v>128</v>
      </c>
      <c r="AP4" s="70" t="s">
        <v>126</v>
      </c>
      <c r="AQ4" s="69" t="s">
        <v>128</v>
      </c>
      <c r="AR4" s="70" t="s">
        <v>126</v>
      </c>
    </row>
    <row r="5" spans="1:52" s="10" customFormat="1" ht="26.25" customHeight="1" x14ac:dyDescent="0.7">
      <c r="A5" s="71"/>
      <c r="B5" s="72"/>
      <c r="C5" s="73" t="s">
        <v>15</v>
      </c>
      <c r="D5" s="74" t="s">
        <v>16</v>
      </c>
      <c r="E5" s="73" t="s">
        <v>15</v>
      </c>
      <c r="F5" s="74" t="s">
        <v>16</v>
      </c>
      <c r="G5" s="73" t="s">
        <v>15</v>
      </c>
      <c r="H5" s="74" t="s">
        <v>16</v>
      </c>
      <c r="I5" s="73" t="s">
        <v>15</v>
      </c>
      <c r="J5" s="74" t="s">
        <v>16</v>
      </c>
      <c r="K5" s="73" t="s">
        <v>15</v>
      </c>
      <c r="L5" s="74" t="s">
        <v>16</v>
      </c>
      <c r="M5" s="73" t="s">
        <v>15</v>
      </c>
      <c r="N5" s="74" t="s">
        <v>16</v>
      </c>
      <c r="O5" s="73" t="s">
        <v>15</v>
      </c>
      <c r="P5" s="74" t="s">
        <v>16</v>
      </c>
      <c r="Q5" s="73" t="s">
        <v>15</v>
      </c>
      <c r="R5" s="74" t="s">
        <v>16</v>
      </c>
      <c r="S5" s="73" t="s">
        <v>15</v>
      </c>
      <c r="T5" s="74" t="s">
        <v>16</v>
      </c>
      <c r="U5" s="73" t="s">
        <v>15</v>
      </c>
      <c r="V5" s="74" t="s">
        <v>16</v>
      </c>
      <c r="W5" s="73" t="s">
        <v>15</v>
      </c>
      <c r="X5" s="74" t="s">
        <v>16</v>
      </c>
      <c r="Y5" s="73" t="s">
        <v>15</v>
      </c>
      <c r="Z5" s="74" t="s">
        <v>16</v>
      </c>
      <c r="AA5" s="73" t="s">
        <v>15</v>
      </c>
      <c r="AB5" s="74" t="s">
        <v>16</v>
      </c>
      <c r="AC5" s="73" t="s">
        <v>15</v>
      </c>
      <c r="AD5" s="74" t="s">
        <v>16</v>
      </c>
      <c r="AE5" s="73" t="s">
        <v>15</v>
      </c>
      <c r="AF5" s="74" t="s">
        <v>16</v>
      </c>
      <c r="AG5" s="73" t="s">
        <v>15</v>
      </c>
      <c r="AH5" s="74" t="s">
        <v>16</v>
      </c>
      <c r="AI5" s="73" t="s">
        <v>15</v>
      </c>
      <c r="AJ5" s="74" t="s">
        <v>16</v>
      </c>
      <c r="AK5" s="73" t="s">
        <v>15</v>
      </c>
      <c r="AL5" s="74" t="s">
        <v>16</v>
      </c>
      <c r="AM5" s="73" t="s">
        <v>15</v>
      </c>
      <c r="AN5" s="74" t="s">
        <v>16</v>
      </c>
      <c r="AO5" s="73" t="s">
        <v>15</v>
      </c>
      <c r="AP5" s="74" t="s">
        <v>16</v>
      </c>
      <c r="AQ5" s="73" t="s">
        <v>15</v>
      </c>
      <c r="AR5" s="74" t="s">
        <v>16</v>
      </c>
    </row>
    <row r="6" spans="1:52" s="5" customFormat="1" ht="26.25" customHeight="1" x14ac:dyDescent="0.7">
      <c r="A6" s="64" t="s">
        <v>17</v>
      </c>
      <c r="B6" s="7" t="s">
        <v>58</v>
      </c>
      <c r="C6" s="7">
        <v>2455</v>
      </c>
      <c r="D6" s="56">
        <v>32705</v>
      </c>
      <c r="E6" s="8">
        <v>1891</v>
      </c>
      <c r="F6" s="61">
        <v>12472.5</v>
      </c>
      <c r="G6" s="8">
        <v>2150</v>
      </c>
      <c r="H6" s="61">
        <v>15483.8</v>
      </c>
      <c r="I6" s="8">
        <v>2664</v>
      </c>
      <c r="J6" s="61">
        <v>16976</v>
      </c>
      <c r="K6" s="8">
        <v>2627</v>
      </c>
      <c r="L6" s="61">
        <v>16627.5</v>
      </c>
      <c r="M6" s="8">
        <v>2099</v>
      </c>
      <c r="N6" s="61">
        <v>11538.5</v>
      </c>
      <c r="O6" s="8">
        <v>2555</v>
      </c>
      <c r="P6" s="61">
        <v>21008</v>
      </c>
      <c r="Q6" s="8">
        <v>1569</v>
      </c>
      <c r="R6" s="61">
        <v>9453</v>
      </c>
      <c r="S6" s="8">
        <v>939</v>
      </c>
      <c r="T6" s="61">
        <v>5184</v>
      </c>
      <c r="U6" s="8">
        <v>1424</v>
      </c>
      <c r="V6" s="61">
        <v>12062.75</v>
      </c>
      <c r="W6" s="8">
        <v>1403</v>
      </c>
      <c r="X6" s="61">
        <v>9491</v>
      </c>
      <c r="Y6" s="8">
        <v>1388</v>
      </c>
      <c r="Z6" s="61">
        <v>8945.25</v>
      </c>
      <c r="AA6" s="8">
        <v>1633</v>
      </c>
      <c r="AB6" s="61">
        <v>11127.75</v>
      </c>
      <c r="AC6" s="8">
        <v>448</v>
      </c>
      <c r="AD6" s="61">
        <v>2795.91</v>
      </c>
      <c r="AE6" s="8">
        <v>865</v>
      </c>
      <c r="AF6" s="61">
        <v>6263.5</v>
      </c>
      <c r="AG6" s="8">
        <v>1361</v>
      </c>
      <c r="AH6" s="61">
        <v>14541.35</v>
      </c>
      <c r="AI6" s="8">
        <v>937</v>
      </c>
      <c r="AJ6" s="61">
        <v>9043.5</v>
      </c>
      <c r="AK6" s="8">
        <v>1179</v>
      </c>
      <c r="AL6" s="61">
        <v>12611.37</v>
      </c>
      <c r="AM6" s="8">
        <v>1659</v>
      </c>
      <c r="AN6" s="61">
        <v>23861.09</v>
      </c>
      <c r="AO6" s="8">
        <v>1408</v>
      </c>
      <c r="AP6" s="61">
        <v>22055.15</v>
      </c>
      <c r="AQ6" s="8">
        <v>1223</v>
      </c>
      <c r="AR6" s="61">
        <v>15055.05</v>
      </c>
    </row>
    <row r="7" spans="1:52" s="5" customFormat="1" ht="26.25" customHeight="1" x14ac:dyDescent="0.7">
      <c r="A7" s="2" t="s">
        <v>18</v>
      </c>
      <c r="B7" s="3" t="s">
        <v>59</v>
      </c>
      <c r="C7" s="3">
        <v>922</v>
      </c>
      <c r="D7" s="55">
        <v>9497</v>
      </c>
      <c r="E7" s="4">
        <v>990</v>
      </c>
      <c r="F7" s="59">
        <v>7829</v>
      </c>
      <c r="G7" s="4">
        <v>664</v>
      </c>
      <c r="H7" s="59">
        <v>4791</v>
      </c>
      <c r="I7" s="4">
        <v>904</v>
      </c>
      <c r="J7" s="59">
        <v>9493.5</v>
      </c>
      <c r="K7" s="4">
        <v>957</v>
      </c>
      <c r="L7" s="59">
        <v>10083.5</v>
      </c>
      <c r="M7" s="4">
        <v>845</v>
      </c>
      <c r="N7" s="59">
        <v>6713</v>
      </c>
      <c r="O7" s="4">
        <v>918</v>
      </c>
      <c r="P7" s="59">
        <v>6970</v>
      </c>
      <c r="Q7" s="4">
        <v>995</v>
      </c>
      <c r="R7" s="59">
        <v>7754.25</v>
      </c>
      <c r="S7" s="4">
        <v>558</v>
      </c>
      <c r="T7" s="59">
        <v>3719</v>
      </c>
      <c r="U7" s="4">
        <v>924</v>
      </c>
      <c r="V7" s="59">
        <v>8750</v>
      </c>
      <c r="W7" s="4">
        <v>473</v>
      </c>
      <c r="X7" s="59">
        <v>2402</v>
      </c>
      <c r="Y7" s="4">
        <v>395</v>
      </c>
      <c r="Z7" s="59">
        <v>2477</v>
      </c>
      <c r="AA7" s="4">
        <v>361</v>
      </c>
      <c r="AB7" s="59">
        <v>2091</v>
      </c>
      <c r="AC7" s="4">
        <v>176</v>
      </c>
      <c r="AD7" s="59">
        <v>820</v>
      </c>
      <c r="AE7" s="4">
        <v>413</v>
      </c>
      <c r="AF7" s="59">
        <v>2499.25</v>
      </c>
      <c r="AG7" s="4">
        <v>508</v>
      </c>
      <c r="AH7" s="59">
        <v>2954.5</v>
      </c>
      <c r="AI7" s="4">
        <v>429</v>
      </c>
      <c r="AJ7" s="59">
        <v>2918.5</v>
      </c>
      <c r="AK7" s="4">
        <v>471</v>
      </c>
      <c r="AL7" s="59">
        <v>3839.5</v>
      </c>
      <c r="AM7" s="4">
        <v>391</v>
      </c>
      <c r="AN7" s="59">
        <v>4800</v>
      </c>
      <c r="AO7" s="4">
        <v>298</v>
      </c>
      <c r="AP7" s="59">
        <v>3703</v>
      </c>
      <c r="AQ7" s="4">
        <v>367</v>
      </c>
      <c r="AR7" s="59">
        <v>3730.13</v>
      </c>
    </row>
    <row r="8" spans="1:52" s="5" customFormat="1" ht="26.25" customHeight="1" x14ac:dyDescent="0.7">
      <c r="A8" s="2" t="s">
        <v>19</v>
      </c>
      <c r="B8" s="3" t="s">
        <v>60</v>
      </c>
      <c r="C8" s="3">
        <v>69</v>
      </c>
      <c r="D8" s="55">
        <v>751</v>
      </c>
      <c r="E8" s="4">
        <v>152</v>
      </c>
      <c r="F8" s="59">
        <v>757</v>
      </c>
      <c r="G8" s="4">
        <v>105</v>
      </c>
      <c r="H8" s="59">
        <v>1401.5</v>
      </c>
      <c r="I8" s="4">
        <v>154</v>
      </c>
      <c r="J8" s="59">
        <v>655.84</v>
      </c>
      <c r="K8" s="4">
        <v>291</v>
      </c>
      <c r="L8" s="59">
        <v>1466</v>
      </c>
      <c r="M8" s="4">
        <v>201</v>
      </c>
      <c r="N8" s="59">
        <v>804.2</v>
      </c>
      <c r="O8" s="4">
        <v>347</v>
      </c>
      <c r="P8" s="59">
        <v>1753</v>
      </c>
      <c r="Q8" s="4">
        <v>224</v>
      </c>
      <c r="R8" s="59">
        <v>1174</v>
      </c>
      <c r="S8" s="4">
        <v>175</v>
      </c>
      <c r="T8" s="59">
        <v>987</v>
      </c>
      <c r="U8" s="4">
        <v>247</v>
      </c>
      <c r="V8" s="59">
        <v>1390</v>
      </c>
      <c r="W8" s="4">
        <v>247</v>
      </c>
      <c r="X8" s="59">
        <v>1312</v>
      </c>
      <c r="Y8" s="4">
        <v>322</v>
      </c>
      <c r="Z8" s="59">
        <v>1895</v>
      </c>
      <c r="AA8" s="4">
        <v>272</v>
      </c>
      <c r="AB8" s="59">
        <v>1638</v>
      </c>
      <c r="AC8" s="4">
        <v>131</v>
      </c>
      <c r="AD8" s="59">
        <v>669</v>
      </c>
      <c r="AE8" s="4">
        <v>242</v>
      </c>
      <c r="AF8" s="59">
        <v>1462.64</v>
      </c>
      <c r="AG8" s="4">
        <v>310</v>
      </c>
      <c r="AH8" s="59">
        <v>1994</v>
      </c>
      <c r="AI8" s="4">
        <v>375</v>
      </c>
      <c r="AJ8" s="59">
        <v>1746.35</v>
      </c>
      <c r="AK8" s="4">
        <v>399</v>
      </c>
      <c r="AL8" s="59">
        <v>2958</v>
      </c>
      <c r="AM8" s="4">
        <v>469</v>
      </c>
      <c r="AN8" s="59">
        <v>3454</v>
      </c>
      <c r="AO8" s="4">
        <v>374</v>
      </c>
      <c r="AP8" s="59">
        <v>5686</v>
      </c>
      <c r="AQ8" s="4">
        <v>232</v>
      </c>
      <c r="AR8" s="59">
        <v>4303</v>
      </c>
    </row>
    <row r="9" spans="1:52" s="5" customFormat="1" ht="26.25" customHeight="1" x14ac:dyDescent="0.7">
      <c r="A9" s="2" t="s">
        <v>20</v>
      </c>
      <c r="B9" s="3" t="s">
        <v>61</v>
      </c>
      <c r="C9" s="3">
        <v>345</v>
      </c>
      <c r="D9" s="55">
        <v>3164</v>
      </c>
      <c r="E9" s="4">
        <v>141</v>
      </c>
      <c r="F9" s="59">
        <v>1698</v>
      </c>
      <c r="G9" s="4">
        <v>321</v>
      </c>
      <c r="H9" s="59">
        <v>3093.3</v>
      </c>
      <c r="I9" s="4">
        <v>503</v>
      </c>
      <c r="J9" s="59">
        <v>3967.25</v>
      </c>
      <c r="K9" s="4">
        <v>691</v>
      </c>
      <c r="L9" s="59">
        <v>4624.5</v>
      </c>
      <c r="M9" s="4">
        <v>523</v>
      </c>
      <c r="N9" s="59">
        <v>3419.27</v>
      </c>
      <c r="O9" s="4">
        <v>493</v>
      </c>
      <c r="P9" s="59">
        <v>5420</v>
      </c>
      <c r="Q9" s="4">
        <v>302</v>
      </c>
      <c r="R9" s="59">
        <v>3315</v>
      </c>
      <c r="S9" s="4">
        <v>256</v>
      </c>
      <c r="T9" s="59">
        <v>1882</v>
      </c>
      <c r="U9" s="4">
        <v>354</v>
      </c>
      <c r="V9" s="59">
        <v>2559</v>
      </c>
      <c r="W9" s="4">
        <v>314</v>
      </c>
      <c r="X9" s="59">
        <v>2657</v>
      </c>
      <c r="Y9" s="4">
        <v>321</v>
      </c>
      <c r="Z9" s="59">
        <v>2378</v>
      </c>
      <c r="AA9" s="4">
        <v>497</v>
      </c>
      <c r="AB9" s="59">
        <v>3796</v>
      </c>
      <c r="AC9" s="4">
        <v>162</v>
      </c>
      <c r="AD9" s="59">
        <v>943</v>
      </c>
      <c r="AE9" s="4">
        <v>219</v>
      </c>
      <c r="AF9" s="59">
        <v>1557</v>
      </c>
      <c r="AG9" s="4">
        <v>166</v>
      </c>
      <c r="AH9" s="59">
        <v>1449</v>
      </c>
      <c r="AI9" s="4">
        <v>238</v>
      </c>
      <c r="AJ9" s="59">
        <v>1959</v>
      </c>
      <c r="AK9" s="4">
        <v>297</v>
      </c>
      <c r="AL9" s="59">
        <v>3552</v>
      </c>
      <c r="AM9" s="4">
        <v>322</v>
      </c>
      <c r="AN9" s="59">
        <v>5257</v>
      </c>
      <c r="AO9" s="4">
        <v>278</v>
      </c>
      <c r="AP9" s="59">
        <v>6398</v>
      </c>
      <c r="AQ9" s="4">
        <v>243</v>
      </c>
      <c r="AR9" s="59">
        <v>5995</v>
      </c>
    </row>
    <row r="10" spans="1:52" s="5" customFormat="1" ht="26.25" customHeight="1" x14ac:dyDescent="0.7">
      <c r="A10" s="2" t="s">
        <v>21</v>
      </c>
      <c r="B10" s="3" t="s">
        <v>62</v>
      </c>
      <c r="C10" s="3">
        <v>252</v>
      </c>
      <c r="D10" s="55">
        <v>1559</v>
      </c>
      <c r="E10" s="4">
        <v>275</v>
      </c>
      <c r="F10" s="59">
        <v>2326.75</v>
      </c>
      <c r="G10" s="4">
        <v>577</v>
      </c>
      <c r="H10" s="59">
        <v>5826</v>
      </c>
      <c r="I10" s="4">
        <v>313</v>
      </c>
      <c r="J10" s="59">
        <v>2362.4</v>
      </c>
      <c r="K10" s="4">
        <v>408</v>
      </c>
      <c r="L10" s="59">
        <v>3095.55</v>
      </c>
      <c r="M10" s="4">
        <v>243</v>
      </c>
      <c r="N10" s="59">
        <v>890</v>
      </c>
      <c r="O10" s="4">
        <v>378</v>
      </c>
      <c r="P10" s="59">
        <v>3444</v>
      </c>
      <c r="Q10" s="4">
        <v>267</v>
      </c>
      <c r="R10" s="59">
        <v>1634</v>
      </c>
      <c r="S10" s="4">
        <v>189</v>
      </c>
      <c r="T10" s="59">
        <v>1264.25</v>
      </c>
      <c r="U10" s="4">
        <v>336</v>
      </c>
      <c r="V10" s="59">
        <v>4151.25</v>
      </c>
      <c r="W10" s="4">
        <v>147</v>
      </c>
      <c r="X10" s="59">
        <v>934</v>
      </c>
      <c r="Y10" s="4">
        <v>145</v>
      </c>
      <c r="Z10" s="59">
        <v>709.25</v>
      </c>
      <c r="AA10" s="4">
        <v>179</v>
      </c>
      <c r="AB10" s="59">
        <v>986.88</v>
      </c>
      <c r="AC10" s="4">
        <v>31</v>
      </c>
      <c r="AD10" s="59">
        <v>84.5</v>
      </c>
      <c r="AE10" s="4">
        <v>181</v>
      </c>
      <c r="AF10" s="59">
        <v>921.5</v>
      </c>
      <c r="AG10" s="4">
        <v>98</v>
      </c>
      <c r="AH10" s="59">
        <v>690.01</v>
      </c>
      <c r="AI10" s="4">
        <v>91</v>
      </c>
      <c r="AJ10" s="59">
        <v>905</v>
      </c>
      <c r="AK10" s="4">
        <v>147</v>
      </c>
      <c r="AL10" s="59">
        <v>1129.72</v>
      </c>
      <c r="AM10" s="4">
        <v>202</v>
      </c>
      <c r="AN10" s="59">
        <v>3157.29</v>
      </c>
      <c r="AO10" s="4">
        <v>86</v>
      </c>
      <c r="AP10" s="59">
        <v>831.76</v>
      </c>
      <c r="AQ10" s="4">
        <v>43</v>
      </c>
      <c r="AR10" s="59">
        <v>281.60000000000002</v>
      </c>
    </row>
    <row r="11" spans="1:52" s="5" customFormat="1" ht="26.25" customHeight="1" x14ac:dyDescent="0.7">
      <c r="A11" s="2" t="s">
        <v>63</v>
      </c>
      <c r="B11" s="3" t="s">
        <v>64</v>
      </c>
      <c r="C11" s="3">
        <v>349</v>
      </c>
      <c r="D11" s="55">
        <v>4430</v>
      </c>
      <c r="E11" s="4">
        <v>249</v>
      </c>
      <c r="F11" s="59">
        <v>3134</v>
      </c>
      <c r="G11" s="4">
        <v>125</v>
      </c>
      <c r="H11" s="59">
        <v>1087</v>
      </c>
      <c r="I11" s="4">
        <v>211</v>
      </c>
      <c r="J11" s="59">
        <v>1348</v>
      </c>
      <c r="K11" s="4">
        <v>265</v>
      </c>
      <c r="L11" s="59">
        <v>1493</v>
      </c>
      <c r="M11" s="4">
        <v>188</v>
      </c>
      <c r="N11" s="59">
        <v>806</v>
      </c>
      <c r="O11" s="4">
        <v>252</v>
      </c>
      <c r="P11" s="59">
        <v>958</v>
      </c>
      <c r="Q11" s="4">
        <v>191</v>
      </c>
      <c r="R11" s="59">
        <v>598</v>
      </c>
      <c r="S11" s="4">
        <v>80</v>
      </c>
      <c r="T11" s="59">
        <v>289</v>
      </c>
      <c r="U11" s="4">
        <v>186</v>
      </c>
      <c r="V11" s="59">
        <v>2313</v>
      </c>
      <c r="W11" s="4">
        <v>134</v>
      </c>
      <c r="X11" s="59">
        <v>598</v>
      </c>
      <c r="Y11" s="4">
        <v>139</v>
      </c>
      <c r="Z11" s="59">
        <v>590</v>
      </c>
      <c r="AA11" s="4">
        <v>117</v>
      </c>
      <c r="AB11" s="59">
        <v>536</v>
      </c>
      <c r="AC11" s="4">
        <v>39</v>
      </c>
      <c r="AD11" s="59">
        <v>165</v>
      </c>
      <c r="AE11" s="4">
        <v>76</v>
      </c>
      <c r="AF11" s="59">
        <v>317</v>
      </c>
      <c r="AG11" s="4">
        <v>38</v>
      </c>
      <c r="AH11" s="59">
        <v>194</v>
      </c>
      <c r="AI11" s="4">
        <v>36</v>
      </c>
      <c r="AJ11" s="59">
        <v>327</v>
      </c>
      <c r="AK11" s="4">
        <v>62</v>
      </c>
      <c r="AL11" s="59">
        <v>428.75</v>
      </c>
      <c r="AM11" s="4">
        <v>131</v>
      </c>
      <c r="AN11" s="59">
        <v>1400</v>
      </c>
      <c r="AO11" s="4">
        <v>59</v>
      </c>
      <c r="AP11" s="59">
        <v>802</v>
      </c>
      <c r="AQ11" s="4">
        <v>30</v>
      </c>
      <c r="AR11" s="59">
        <v>250</v>
      </c>
    </row>
    <row r="12" spans="1:52" s="5" customFormat="1" ht="26.25" customHeight="1" x14ac:dyDescent="0.7">
      <c r="A12" s="2" t="s">
        <v>65</v>
      </c>
      <c r="B12" s="3" t="s">
        <v>66</v>
      </c>
      <c r="C12" s="3">
        <v>93</v>
      </c>
      <c r="D12" s="55">
        <v>818</v>
      </c>
      <c r="E12" s="4">
        <v>204</v>
      </c>
      <c r="F12" s="59">
        <v>1714</v>
      </c>
      <c r="G12" s="4">
        <v>190</v>
      </c>
      <c r="H12" s="59">
        <v>1240.2</v>
      </c>
      <c r="I12" s="4">
        <v>265</v>
      </c>
      <c r="J12" s="59">
        <v>2524.5</v>
      </c>
      <c r="K12" s="4">
        <v>254</v>
      </c>
      <c r="L12" s="59">
        <v>1893</v>
      </c>
      <c r="M12" s="4">
        <v>182</v>
      </c>
      <c r="N12" s="59">
        <v>1837</v>
      </c>
      <c r="O12" s="4">
        <v>231</v>
      </c>
      <c r="P12" s="59">
        <v>1796</v>
      </c>
      <c r="Q12" s="4">
        <v>192</v>
      </c>
      <c r="R12" s="59">
        <v>1292</v>
      </c>
      <c r="S12" s="4">
        <v>100</v>
      </c>
      <c r="T12" s="59">
        <v>847.5</v>
      </c>
      <c r="U12" s="4">
        <v>146</v>
      </c>
      <c r="V12" s="59">
        <v>824</v>
      </c>
      <c r="W12" s="4">
        <v>95</v>
      </c>
      <c r="X12" s="59">
        <v>560</v>
      </c>
      <c r="Y12" s="4">
        <v>112</v>
      </c>
      <c r="Z12" s="59">
        <v>591</v>
      </c>
      <c r="AA12" s="4">
        <v>100</v>
      </c>
      <c r="AB12" s="59">
        <v>686</v>
      </c>
      <c r="AC12" s="4">
        <v>42</v>
      </c>
      <c r="AD12" s="59">
        <v>227</v>
      </c>
      <c r="AE12" s="4">
        <v>158</v>
      </c>
      <c r="AF12" s="59">
        <v>1470</v>
      </c>
      <c r="AG12" s="4">
        <v>147</v>
      </c>
      <c r="AH12" s="59">
        <v>1010.5</v>
      </c>
      <c r="AI12" s="4">
        <v>111</v>
      </c>
      <c r="AJ12" s="59">
        <v>927</v>
      </c>
      <c r="AK12" s="4">
        <v>140</v>
      </c>
      <c r="AL12" s="59">
        <v>1004</v>
      </c>
      <c r="AM12" s="4">
        <v>140</v>
      </c>
      <c r="AN12" s="59">
        <v>2201</v>
      </c>
      <c r="AO12" s="4">
        <v>78</v>
      </c>
      <c r="AP12" s="59">
        <v>726</v>
      </c>
      <c r="AQ12" s="4">
        <v>54</v>
      </c>
      <c r="AR12" s="59">
        <v>525</v>
      </c>
    </row>
    <row r="13" spans="1:52" s="5" customFormat="1" ht="26.25" customHeight="1" x14ac:dyDescent="0.7">
      <c r="A13" s="2" t="s">
        <v>67</v>
      </c>
      <c r="B13" s="3" t="s">
        <v>68</v>
      </c>
      <c r="C13" s="3">
        <v>123</v>
      </c>
      <c r="D13" s="55">
        <v>1579</v>
      </c>
      <c r="E13" s="4">
        <v>57</v>
      </c>
      <c r="F13" s="59">
        <v>689</v>
      </c>
      <c r="G13" s="4">
        <v>56</v>
      </c>
      <c r="H13" s="59">
        <v>743</v>
      </c>
      <c r="I13" s="4">
        <v>36</v>
      </c>
      <c r="J13" s="59">
        <v>456</v>
      </c>
      <c r="K13" s="4">
        <v>54</v>
      </c>
      <c r="L13" s="59">
        <v>1353</v>
      </c>
      <c r="M13" s="4">
        <v>20</v>
      </c>
      <c r="N13" s="59">
        <v>375</v>
      </c>
      <c r="O13" s="4">
        <v>61</v>
      </c>
      <c r="P13" s="59">
        <v>889</v>
      </c>
      <c r="Q13" s="4">
        <v>19</v>
      </c>
      <c r="R13" s="59">
        <v>440</v>
      </c>
      <c r="S13" s="4">
        <v>13</v>
      </c>
      <c r="T13" s="59">
        <v>253</v>
      </c>
      <c r="U13" s="4">
        <v>90</v>
      </c>
      <c r="V13" s="59">
        <v>1446</v>
      </c>
      <c r="W13" s="4">
        <v>16</v>
      </c>
      <c r="X13" s="59">
        <v>709</v>
      </c>
      <c r="Y13" s="4">
        <v>5</v>
      </c>
      <c r="Z13" s="59">
        <v>45</v>
      </c>
      <c r="AA13" s="4">
        <v>39</v>
      </c>
      <c r="AB13" s="59">
        <v>517</v>
      </c>
      <c r="AC13" s="4">
        <v>2</v>
      </c>
      <c r="AD13" s="59">
        <v>8</v>
      </c>
      <c r="AE13" s="4">
        <v>29</v>
      </c>
      <c r="AF13" s="59">
        <v>311</v>
      </c>
      <c r="AG13" s="4">
        <v>123</v>
      </c>
      <c r="AH13" s="59">
        <v>1259.5</v>
      </c>
      <c r="AI13" s="4">
        <v>88</v>
      </c>
      <c r="AJ13" s="59">
        <v>972</v>
      </c>
      <c r="AK13" s="4">
        <v>78</v>
      </c>
      <c r="AL13" s="59">
        <v>934</v>
      </c>
      <c r="AM13" s="4">
        <v>149</v>
      </c>
      <c r="AN13" s="59">
        <v>1815</v>
      </c>
      <c r="AO13" s="4">
        <v>127</v>
      </c>
      <c r="AP13" s="59">
        <v>2240.25</v>
      </c>
      <c r="AQ13" s="4">
        <v>69</v>
      </c>
      <c r="AR13" s="59">
        <v>1133.7</v>
      </c>
    </row>
    <row r="14" spans="1:52" s="5" customFormat="1" ht="26.25" customHeight="1" x14ac:dyDescent="0.7">
      <c r="A14" s="2" t="s">
        <v>69</v>
      </c>
      <c r="B14" s="3" t="s">
        <v>75</v>
      </c>
      <c r="C14" s="3">
        <v>400</v>
      </c>
      <c r="D14" s="55">
        <v>5045</v>
      </c>
      <c r="E14" s="4">
        <v>226</v>
      </c>
      <c r="F14" s="59">
        <v>1994</v>
      </c>
      <c r="G14" s="4">
        <v>249</v>
      </c>
      <c r="H14" s="59">
        <v>2377</v>
      </c>
      <c r="I14" s="4">
        <v>252</v>
      </c>
      <c r="J14" s="59">
        <v>3147</v>
      </c>
      <c r="K14" s="4">
        <v>351</v>
      </c>
      <c r="L14" s="59">
        <v>3711</v>
      </c>
      <c r="M14" s="4">
        <v>253</v>
      </c>
      <c r="N14" s="59">
        <v>2336</v>
      </c>
      <c r="O14" s="4">
        <v>274</v>
      </c>
      <c r="P14" s="59">
        <v>4807</v>
      </c>
      <c r="Q14" s="4">
        <v>328</v>
      </c>
      <c r="R14" s="59">
        <v>2252</v>
      </c>
      <c r="S14" s="4">
        <v>250</v>
      </c>
      <c r="T14" s="59">
        <v>1681</v>
      </c>
      <c r="U14" s="4">
        <v>329</v>
      </c>
      <c r="V14" s="59">
        <v>3000</v>
      </c>
      <c r="W14" s="4">
        <v>212</v>
      </c>
      <c r="X14" s="59">
        <v>1432</v>
      </c>
      <c r="Y14" s="4">
        <v>174</v>
      </c>
      <c r="Z14" s="59">
        <v>2176</v>
      </c>
      <c r="AA14" s="4">
        <v>268</v>
      </c>
      <c r="AB14" s="59">
        <v>1894</v>
      </c>
      <c r="AC14" s="4">
        <v>90</v>
      </c>
      <c r="AD14" s="59">
        <v>774</v>
      </c>
      <c r="AE14" s="4">
        <v>149</v>
      </c>
      <c r="AF14" s="59">
        <v>1202</v>
      </c>
      <c r="AG14" s="4">
        <v>95</v>
      </c>
      <c r="AH14" s="59">
        <v>1131</v>
      </c>
      <c r="AI14" s="4">
        <v>117</v>
      </c>
      <c r="AJ14" s="59">
        <v>1275</v>
      </c>
      <c r="AK14" s="4">
        <v>258</v>
      </c>
      <c r="AL14" s="59">
        <v>3869</v>
      </c>
      <c r="AM14" s="4">
        <v>373</v>
      </c>
      <c r="AN14" s="59">
        <v>8899</v>
      </c>
      <c r="AO14" s="4">
        <v>317</v>
      </c>
      <c r="AP14" s="59">
        <v>10349.4</v>
      </c>
      <c r="AQ14" s="4">
        <v>163</v>
      </c>
      <c r="AR14" s="59">
        <v>8639.5</v>
      </c>
    </row>
    <row r="15" spans="1:52" s="53" customFormat="1" ht="36.75" customHeight="1" thickBot="1" x14ac:dyDescent="0.8">
      <c r="A15" s="50"/>
      <c r="B15" s="51" t="s">
        <v>147</v>
      </c>
      <c r="C15" s="52">
        <f>SUM(C6:C14)</f>
        <v>5008</v>
      </c>
      <c r="D15" s="52">
        <f t="shared" ref="D15:AR15" si="0">SUM(D6:D14)</f>
        <v>59548</v>
      </c>
      <c r="E15" s="52">
        <f t="shared" si="0"/>
        <v>4185</v>
      </c>
      <c r="F15" s="52">
        <f t="shared" si="0"/>
        <v>32614.25</v>
      </c>
      <c r="G15" s="52">
        <f t="shared" si="0"/>
        <v>4437</v>
      </c>
      <c r="H15" s="52">
        <f t="shared" si="0"/>
        <v>36042.799999999996</v>
      </c>
      <c r="I15" s="52">
        <f t="shared" si="0"/>
        <v>5302</v>
      </c>
      <c r="J15" s="52">
        <f t="shared" si="0"/>
        <v>40930.49</v>
      </c>
      <c r="K15" s="52">
        <f t="shared" si="0"/>
        <v>5898</v>
      </c>
      <c r="L15" s="52">
        <f t="shared" si="0"/>
        <v>44347.05</v>
      </c>
      <c r="M15" s="52">
        <f t="shared" si="0"/>
        <v>4554</v>
      </c>
      <c r="N15" s="52">
        <f t="shared" si="0"/>
        <v>28718.97</v>
      </c>
      <c r="O15" s="52">
        <f t="shared" si="0"/>
        <v>5509</v>
      </c>
      <c r="P15" s="52">
        <f t="shared" si="0"/>
        <v>47045</v>
      </c>
      <c r="Q15" s="52">
        <f t="shared" si="0"/>
        <v>4087</v>
      </c>
      <c r="R15" s="52">
        <f t="shared" si="0"/>
        <v>27912.25</v>
      </c>
      <c r="S15" s="52">
        <f t="shared" si="0"/>
        <v>2560</v>
      </c>
      <c r="T15" s="52">
        <f t="shared" si="0"/>
        <v>16106.75</v>
      </c>
      <c r="U15" s="52">
        <f t="shared" si="0"/>
        <v>4036</v>
      </c>
      <c r="V15" s="52">
        <f t="shared" si="0"/>
        <v>36496</v>
      </c>
      <c r="W15" s="52">
        <f t="shared" si="0"/>
        <v>3041</v>
      </c>
      <c r="X15" s="52">
        <f t="shared" si="0"/>
        <v>20095</v>
      </c>
      <c r="Y15" s="52">
        <f t="shared" si="0"/>
        <v>3001</v>
      </c>
      <c r="Z15" s="52">
        <f t="shared" si="0"/>
        <v>19806.5</v>
      </c>
      <c r="AA15" s="52">
        <f t="shared" si="0"/>
        <v>3466</v>
      </c>
      <c r="AB15" s="52">
        <f t="shared" si="0"/>
        <v>23272.63</v>
      </c>
      <c r="AC15" s="52">
        <f t="shared" si="0"/>
        <v>1121</v>
      </c>
      <c r="AD15" s="52">
        <f t="shared" si="0"/>
        <v>6486.41</v>
      </c>
      <c r="AE15" s="52">
        <f t="shared" si="0"/>
        <v>2332</v>
      </c>
      <c r="AF15" s="52">
        <f t="shared" si="0"/>
        <v>16003.89</v>
      </c>
      <c r="AG15" s="52">
        <f t="shared" si="0"/>
        <v>2846</v>
      </c>
      <c r="AH15" s="52">
        <f t="shared" si="0"/>
        <v>25223.859999999997</v>
      </c>
      <c r="AI15" s="52">
        <f t="shared" si="0"/>
        <v>2422</v>
      </c>
      <c r="AJ15" s="52">
        <f t="shared" si="0"/>
        <v>20073.349999999999</v>
      </c>
      <c r="AK15" s="52">
        <f t="shared" si="0"/>
        <v>3031</v>
      </c>
      <c r="AL15" s="52">
        <f t="shared" si="0"/>
        <v>30326.340000000004</v>
      </c>
      <c r="AM15" s="52">
        <f t="shared" si="0"/>
        <v>3836</v>
      </c>
      <c r="AN15" s="52">
        <f t="shared" si="0"/>
        <v>54844.38</v>
      </c>
      <c r="AO15" s="52">
        <f t="shared" si="0"/>
        <v>3025</v>
      </c>
      <c r="AP15" s="52">
        <f t="shared" si="0"/>
        <v>52791.560000000005</v>
      </c>
      <c r="AQ15" s="52">
        <f t="shared" si="0"/>
        <v>2424</v>
      </c>
      <c r="AR15" s="52">
        <f t="shared" si="0"/>
        <v>39912.979999999996</v>
      </c>
      <c r="AS15" s="80"/>
      <c r="AT15" s="80"/>
      <c r="AU15" s="80"/>
      <c r="AV15" s="80"/>
      <c r="AW15" s="80"/>
      <c r="AX15" s="80"/>
      <c r="AY15" s="80"/>
      <c r="AZ15" s="80"/>
    </row>
    <row r="16" spans="1:52" s="5" customFormat="1" ht="26.25" customHeight="1" thickTop="1" x14ac:dyDescent="0.7">
      <c r="D16" s="57"/>
      <c r="F16" s="57"/>
      <c r="H16" s="57"/>
      <c r="J16" s="57"/>
      <c r="L16" s="57"/>
      <c r="N16" s="57"/>
      <c r="P16" s="57"/>
      <c r="R16" s="57"/>
      <c r="T16" s="57"/>
      <c r="V16" s="57"/>
      <c r="X16" s="57"/>
      <c r="Z16" s="57"/>
      <c r="AB16" s="57"/>
      <c r="AD16" s="63"/>
      <c r="AF16" s="63"/>
      <c r="AH16" s="63"/>
      <c r="AJ16" s="63"/>
    </row>
    <row r="17" spans="4:36" s="5" customFormat="1" ht="26.25" customHeight="1" x14ac:dyDescent="0.7">
      <c r="D17" s="57"/>
      <c r="E17" s="9"/>
      <c r="F17" s="57"/>
      <c r="G17" s="9"/>
      <c r="H17" s="57"/>
      <c r="I17" s="9"/>
      <c r="J17" s="57"/>
      <c r="K17" s="9"/>
      <c r="L17" s="57"/>
      <c r="M17" s="9"/>
      <c r="N17" s="57"/>
      <c r="P17" s="57"/>
      <c r="R17" s="57"/>
      <c r="T17" s="57"/>
      <c r="V17" s="57"/>
      <c r="X17" s="57"/>
      <c r="Z17" s="57"/>
      <c r="AB17" s="57"/>
      <c r="AD17" s="63"/>
      <c r="AF17" s="63"/>
      <c r="AH17" s="63"/>
      <c r="AJ17" s="63"/>
    </row>
    <row r="18" spans="4:36" s="5" customFormat="1" ht="26.25" customHeight="1" x14ac:dyDescent="0.7">
      <c r="D18" s="57"/>
      <c r="F18" s="57"/>
      <c r="H18" s="57"/>
      <c r="J18" s="57"/>
      <c r="L18" s="57"/>
      <c r="N18" s="57"/>
      <c r="P18" s="57"/>
      <c r="R18" s="57"/>
      <c r="T18" s="57"/>
      <c r="V18" s="57"/>
      <c r="X18" s="57"/>
      <c r="Z18" s="57"/>
      <c r="AB18" s="57"/>
      <c r="AD18" s="63"/>
      <c r="AF18" s="63"/>
      <c r="AH18" s="63"/>
      <c r="AJ18" s="63"/>
    </row>
    <row r="19" spans="4:36" s="5" customFormat="1" ht="26.25" customHeight="1" x14ac:dyDescent="0.7">
      <c r="D19" s="57"/>
      <c r="F19" s="57"/>
      <c r="H19" s="57"/>
      <c r="J19" s="57"/>
      <c r="L19" s="57"/>
      <c r="N19" s="57"/>
      <c r="P19" s="57"/>
      <c r="R19" s="57"/>
      <c r="T19" s="57"/>
      <c r="V19" s="57"/>
      <c r="X19" s="57"/>
      <c r="Z19" s="57"/>
      <c r="AB19" s="57"/>
      <c r="AD19" s="63"/>
      <c r="AF19" s="63"/>
      <c r="AH19" s="63"/>
      <c r="AJ19" s="63"/>
    </row>
    <row r="20" spans="4:36" s="5" customFormat="1" ht="26.25" customHeight="1" x14ac:dyDescent="0.7">
      <c r="D20" s="57"/>
      <c r="F20" s="57"/>
      <c r="H20" s="57"/>
      <c r="J20" s="57"/>
      <c r="L20" s="57"/>
      <c r="N20" s="57"/>
      <c r="P20" s="57"/>
      <c r="R20" s="57"/>
      <c r="T20" s="57"/>
      <c r="V20" s="57"/>
      <c r="X20" s="57"/>
      <c r="Z20" s="57"/>
      <c r="AB20" s="57"/>
      <c r="AD20" s="63"/>
      <c r="AF20" s="63"/>
      <c r="AH20" s="63"/>
      <c r="AJ20" s="63"/>
    </row>
    <row r="21" spans="4:36" s="5" customFormat="1" ht="26.25" customHeight="1" x14ac:dyDescent="0.7">
      <c r="D21" s="57"/>
      <c r="F21" s="57"/>
      <c r="H21" s="57"/>
      <c r="J21" s="57"/>
      <c r="L21" s="57"/>
      <c r="N21" s="57"/>
      <c r="P21" s="57"/>
      <c r="R21" s="57"/>
      <c r="T21" s="57"/>
      <c r="V21" s="57"/>
      <c r="X21" s="57"/>
      <c r="Z21" s="57"/>
      <c r="AB21" s="57"/>
      <c r="AD21" s="63"/>
      <c r="AF21" s="63"/>
      <c r="AH21" s="63"/>
      <c r="AJ21" s="63"/>
    </row>
    <row r="22" spans="4:36" s="5" customFormat="1" ht="26.25" customHeight="1" x14ac:dyDescent="0.7">
      <c r="D22" s="57"/>
      <c r="F22" s="57"/>
      <c r="H22" s="57"/>
      <c r="J22" s="57"/>
      <c r="L22" s="57"/>
      <c r="N22" s="57"/>
      <c r="P22" s="57"/>
      <c r="R22" s="57"/>
      <c r="T22" s="57"/>
      <c r="V22" s="57"/>
      <c r="X22" s="57"/>
      <c r="Z22" s="57"/>
      <c r="AB22" s="57"/>
      <c r="AD22" s="63"/>
      <c r="AF22" s="63"/>
      <c r="AH22" s="63"/>
      <c r="AJ22" s="63"/>
    </row>
    <row r="23" spans="4:36" s="5" customFormat="1" ht="26.25" customHeight="1" x14ac:dyDescent="0.7">
      <c r="D23" s="57"/>
      <c r="F23" s="57"/>
      <c r="H23" s="57"/>
      <c r="J23" s="57"/>
      <c r="L23" s="57"/>
      <c r="N23" s="57"/>
      <c r="P23" s="57"/>
      <c r="R23" s="57"/>
      <c r="T23" s="57"/>
      <c r="V23" s="57"/>
      <c r="X23" s="57"/>
      <c r="Z23" s="57"/>
      <c r="AB23" s="57"/>
      <c r="AD23" s="63"/>
      <c r="AF23" s="63"/>
      <c r="AH23" s="63"/>
      <c r="AJ23" s="63"/>
    </row>
    <row r="24" spans="4:36" s="5" customFormat="1" ht="26.25" customHeight="1" x14ac:dyDescent="0.7">
      <c r="D24" s="57"/>
      <c r="F24" s="57"/>
      <c r="H24" s="57"/>
      <c r="J24" s="57"/>
      <c r="L24" s="57"/>
      <c r="N24" s="57"/>
      <c r="P24" s="57"/>
      <c r="R24" s="57"/>
      <c r="T24" s="57"/>
      <c r="V24" s="57"/>
      <c r="X24" s="57"/>
      <c r="Z24" s="57"/>
      <c r="AB24" s="57"/>
      <c r="AD24" s="63"/>
      <c r="AF24" s="63"/>
      <c r="AH24" s="63"/>
      <c r="AJ24" s="63"/>
    </row>
    <row r="25" spans="4:36" s="5" customFormat="1" ht="26.25" customHeight="1" x14ac:dyDescent="0.7">
      <c r="D25" s="57"/>
      <c r="F25" s="57"/>
      <c r="H25" s="57"/>
      <c r="J25" s="57"/>
      <c r="L25" s="57"/>
      <c r="N25" s="57"/>
      <c r="P25" s="57"/>
      <c r="R25" s="57"/>
      <c r="T25" s="57"/>
      <c r="V25" s="57"/>
      <c r="X25" s="57"/>
      <c r="Z25" s="57"/>
      <c r="AB25" s="57"/>
      <c r="AD25" s="63"/>
      <c r="AF25" s="63"/>
      <c r="AH25" s="63"/>
      <c r="AJ25" s="63"/>
    </row>
    <row r="26" spans="4:36" s="5" customFormat="1" ht="26.25" customHeight="1" x14ac:dyDescent="0.7">
      <c r="D26" s="57"/>
      <c r="F26" s="57"/>
      <c r="H26" s="57"/>
      <c r="J26" s="57"/>
      <c r="L26" s="57"/>
      <c r="N26" s="57"/>
      <c r="P26" s="57"/>
      <c r="R26" s="57"/>
      <c r="T26" s="57"/>
      <c r="V26" s="57"/>
      <c r="X26" s="57"/>
      <c r="Z26" s="57"/>
      <c r="AB26" s="57"/>
      <c r="AD26" s="63"/>
      <c r="AF26" s="63"/>
      <c r="AH26" s="63"/>
      <c r="AJ26" s="63"/>
    </row>
    <row r="27" spans="4:36" s="5" customFormat="1" ht="26.25" customHeight="1" x14ac:dyDescent="0.7">
      <c r="D27" s="57"/>
      <c r="F27" s="57"/>
      <c r="H27" s="57"/>
      <c r="J27" s="57"/>
      <c r="L27" s="57"/>
      <c r="N27" s="57"/>
      <c r="P27" s="57"/>
      <c r="R27" s="57"/>
      <c r="T27" s="57"/>
      <c r="V27" s="57"/>
      <c r="X27" s="57"/>
      <c r="Z27" s="57"/>
      <c r="AB27" s="57"/>
      <c r="AD27" s="63"/>
      <c r="AF27" s="63"/>
      <c r="AH27" s="63"/>
      <c r="AJ27" s="63"/>
    </row>
    <row r="28" spans="4:36" s="5" customFormat="1" ht="26.25" customHeight="1" x14ac:dyDescent="0.7">
      <c r="D28" s="57"/>
      <c r="F28" s="57"/>
      <c r="H28" s="57"/>
      <c r="J28" s="57"/>
      <c r="L28" s="57"/>
      <c r="N28" s="57"/>
      <c r="P28" s="57"/>
      <c r="R28" s="57"/>
      <c r="T28" s="57"/>
      <c r="V28" s="57"/>
      <c r="X28" s="57"/>
      <c r="Z28" s="57"/>
      <c r="AB28" s="57"/>
      <c r="AD28" s="63"/>
      <c r="AF28" s="63"/>
      <c r="AH28" s="63"/>
      <c r="AJ28" s="63"/>
    </row>
    <row r="29" spans="4:36" s="5" customFormat="1" ht="26.25" customHeight="1" x14ac:dyDescent="0.7">
      <c r="D29" s="57"/>
      <c r="F29" s="57"/>
      <c r="H29" s="57"/>
      <c r="J29" s="57"/>
      <c r="L29" s="57"/>
      <c r="N29" s="57"/>
      <c r="P29" s="57"/>
      <c r="R29" s="57"/>
      <c r="T29" s="57"/>
      <c r="V29" s="57"/>
      <c r="X29" s="57"/>
      <c r="Z29" s="57"/>
      <c r="AB29" s="57"/>
      <c r="AD29" s="63"/>
      <c r="AF29" s="63"/>
      <c r="AH29" s="63"/>
      <c r="AJ29" s="63"/>
    </row>
    <row r="30" spans="4:36" s="5" customFormat="1" ht="26.25" customHeight="1" x14ac:dyDescent="0.7">
      <c r="D30" s="57"/>
      <c r="F30" s="57"/>
      <c r="H30" s="57"/>
      <c r="J30" s="57"/>
      <c r="L30" s="57"/>
      <c r="N30" s="57"/>
      <c r="P30" s="57"/>
      <c r="R30" s="57"/>
      <c r="T30" s="57"/>
      <c r="V30" s="57"/>
      <c r="X30" s="57"/>
      <c r="Z30" s="57"/>
      <c r="AB30" s="57"/>
      <c r="AD30" s="63"/>
      <c r="AF30" s="63"/>
      <c r="AH30" s="63"/>
      <c r="AJ30" s="63"/>
    </row>
    <row r="31" spans="4:36" s="5" customFormat="1" ht="26.25" customHeight="1" x14ac:dyDescent="0.7">
      <c r="D31" s="57"/>
      <c r="F31" s="57"/>
      <c r="H31" s="57"/>
      <c r="J31" s="57"/>
      <c r="L31" s="57"/>
      <c r="N31" s="57"/>
      <c r="P31" s="57"/>
      <c r="R31" s="57"/>
      <c r="T31" s="57"/>
      <c r="V31" s="57"/>
      <c r="X31" s="57"/>
      <c r="Z31" s="57"/>
      <c r="AB31" s="57"/>
      <c r="AD31" s="63"/>
      <c r="AF31" s="63"/>
      <c r="AH31" s="63"/>
      <c r="AJ31" s="63"/>
    </row>
    <row r="32" spans="4:36" s="5" customFormat="1" ht="26.25" customHeight="1" x14ac:dyDescent="0.7">
      <c r="D32" s="57"/>
      <c r="F32" s="57"/>
      <c r="H32" s="57"/>
      <c r="J32" s="57"/>
      <c r="L32" s="57"/>
      <c r="N32" s="57"/>
      <c r="P32" s="57"/>
      <c r="R32" s="57"/>
      <c r="T32" s="57"/>
      <c r="V32" s="57"/>
      <c r="X32" s="57"/>
      <c r="Z32" s="57"/>
      <c r="AB32" s="57"/>
      <c r="AD32" s="63"/>
      <c r="AF32" s="63"/>
      <c r="AH32" s="63"/>
      <c r="AJ32" s="63"/>
    </row>
  </sheetData>
  <mergeCells count="22">
    <mergeCell ref="AQ3:AR3"/>
    <mergeCell ref="AO3:AP3"/>
    <mergeCell ref="AK3:AL3"/>
    <mergeCell ref="W3:X3"/>
    <mergeCell ref="Y3:Z3"/>
    <mergeCell ref="AM3:AN3"/>
    <mergeCell ref="AI3:AJ3"/>
    <mergeCell ref="A4:B4"/>
    <mergeCell ref="AA3:AB3"/>
    <mergeCell ref="AC3:AD3"/>
    <mergeCell ref="AE3:AF3"/>
    <mergeCell ref="AG3:AH3"/>
    <mergeCell ref="M3:N3"/>
    <mergeCell ref="S3:T3"/>
    <mergeCell ref="O3:P3"/>
    <mergeCell ref="U3:V3"/>
    <mergeCell ref="Q3:R3"/>
    <mergeCell ref="K3:L3"/>
    <mergeCell ref="I3:J3"/>
    <mergeCell ref="C3:D3"/>
    <mergeCell ref="E3:F3"/>
    <mergeCell ref="G3:H3"/>
  </mergeCells>
  <printOptions horizontalCentered="1"/>
  <pageMargins left="0.15748031496062992" right="0.19685039370078741" top="0.55118110236220474" bottom="0.27559055118110237" header="0.35433070866141736" footer="0.43307086614173229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R36"/>
  <sheetViews>
    <sheetView zoomScaleNormal="100" workbookViewId="0">
      <pane xSplit="1" ySplit="7" topLeftCell="AH8" activePane="bottomRight" state="frozen"/>
      <selection pane="topRight" activeCell="B1" sqref="B1"/>
      <selection pane="bottomLeft" activeCell="A8" sqref="A8"/>
      <selection pane="bottomRight" activeCell="AP7" sqref="AP7"/>
    </sheetView>
  </sheetViews>
  <sheetFormatPr defaultColWidth="11.69921875" defaultRowHeight="25.5" customHeight="1" x14ac:dyDescent="0.75"/>
  <cols>
    <col min="1" max="1" width="46" style="17" customWidth="1"/>
    <col min="2" max="2" width="5.8984375" style="12" customWidth="1"/>
    <col min="3" max="16" width="11.59765625" style="32" customWidth="1"/>
    <col min="17" max="18" width="11.59765625" style="38" customWidth="1"/>
    <col min="19" max="36" width="11.59765625" style="32" customWidth="1"/>
    <col min="37" max="16384" width="11.69921875" style="11"/>
  </cols>
  <sheetData>
    <row r="1" spans="1:44" ht="25.5" customHeight="1" x14ac:dyDescent="0.75">
      <c r="A1" s="87" t="s">
        <v>144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45"/>
      <c r="AH1" s="45"/>
      <c r="AI1" s="45"/>
      <c r="AJ1" s="45"/>
    </row>
    <row r="2" spans="1:44" ht="25.5" customHeight="1" x14ac:dyDescent="0.7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45"/>
      <c r="AH2" s="45"/>
      <c r="AI2" s="45"/>
      <c r="AJ2" s="45"/>
    </row>
    <row r="4" spans="1:44" s="13" customFormat="1" ht="25.5" customHeight="1" x14ac:dyDescent="0.75">
      <c r="A4" s="75" t="s">
        <v>3</v>
      </c>
      <c r="B4" s="76" t="s">
        <v>13</v>
      </c>
      <c r="C4" s="88" t="s">
        <v>0</v>
      </c>
      <c r="D4" s="89"/>
      <c r="E4" s="88" t="s">
        <v>1</v>
      </c>
      <c r="F4" s="89"/>
      <c r="G4" s="88" t="s">
        <v>2</v>
      </c>
      <c r="H4" s="89"/>
      <c r="I4" s="88" t="s">
        <v>24</v>
      </c>
      <c r="J4" s="89"/>
      <c r="K4" s="88" t="s">
        <v>25</v>
      </c>
      <c r="L4" s="89"/>
      <c r="M4" s="88" t="s">
        <v>29</v>
      </c>
      <c r="N4" s="89"/>
      <c r="O4" s="88" t="s">
        <v>30</v>
      </c>
      <c r="P4" s="89"/>
      <c r="Q4" s="88" t="s">
        <v>31</v>
      </c>
      <c r="R4" s="89"/>
      <c r="S4" s="88" t="s">
        <v>56</v>
      </c>
      <c r="T4" s="89"/>
      <c r="U4" s="88" t="s">
        <v>129</v>
      </c>
      <c r="V4" s="89"/>
      <c r="W4" s="88" t="s">
        <v>130</v>
      </c>
      <c r="X4" s="89"/>
      <c r="Y4" s="88" t="s">
        <v>131</v>
      </c>
      <c r="Z4" s="89"/>
      <c r="AA4" s="88" t="s">
        <v>132</v>
      </c>
      <c r="AB4" s="89"/>
      <c r="AC4" s="88" t="s">
        <v>133</v>
      </c>
      <c r="AD4" s="89"/>
      <c r="AE4" s="88" t="s">
        <v>134</v>
      </c>
      <c r="AF4" s="89"/>
      <c r="AG4" s="88" t="s">
        <v>136</v>
      </c>
      <c r="AH4" s="89"/>
      <c r="AI4" s="88" t="s">
        <v>137</v>
      </c>
      <c r="AJ4" s="89"/>
      <c r="AK4" s="88" t="s">
        <v>138</v>
      </c>
      <c r="AL4" s="89"/>
      <c r="AM4" s="88" t="s">
        <v>143</v>
      </c>
      <c r="AN4" s="89"/>
      <c r="AO4" s="88" t="s">
        <v>146</v>
      </c>
      <c r="AP4" s="89"/>
      <c r="AQ4" s="88" t="s">
        <v>149</v>
      </c>
      <c r="AR4" s="89"/>
    </row>
    <row r="5" spans="1:44" s="14" customFormat="1" ht="25.5" customHeight="1" x14ac:dyDescent="0.75">
      <c r="A5" s="77"/>
      <c r="B5" s="78" t="s">
        <v>28</v>
      </c>
      <c r="C5" s="75" t="s">
        <v>4</v>
      </c>
      <c r="D5" s="75" t="s">
        <v>5</v>
      </c>
      <c r="E5" s="75" t="s">
        <v>4</v>
      </c>
      <c r="F5" s="75" t="s">
        <v>5</v>
      </c>
      <c r="G5" s="75" t="s">
        <v>4</v>
      </c>
      <c r="H5" s="75" t="s">
        <v>5</v>
      </c>
      <c r="I5" s="75" t="s">
        <v>4</v>
      </c>
      <c r="J5" s="75" t="s">
        <v>5</v>
      </c>
      <c r="K5" s="75" t="s">
        <v>4</v>
      </c>
      <c r="L5" s="75" t="s">
        <v>5</v>
      </c>
      <c r="M5" s="75" t="s">
        <v>4</v>
      </c>
      <c r="N5" s="75" t="s">
        <v>5</v>
      </c>
      <c r="O5" s="75" t="s">
        <v>4</v>
      </c>
      <c r="P5" s="75" t="s">
        <v>5</v>
      </c>
      <c r="Q5" s="75" t="s">
        <v>4</v>
      </c>
      <c r="R5" s="75" t="s">
        <v>5</v>
      </c>
      <c r="S5" s="75" t="s">
        <v>4</v>
      </c>
      <c r="T5" s="75" t="s">
        <v>5</v>
      </c>
      <c r="U5" s="75" t="s">
        <v>4</v>
      </c>
      <c r="V5" s="75" t="s">
        <v>5</v>
      </c>
      <c r="W5" s="75" t="s">
        <v>4</v>
      </c>
      <c r="X5" s="75" t="s">
        <v>5</v>
      </c>
      <c r="Y5" s="75" t="s">
        <v>4</v>
      </c>
      <c r="Z5" s="75" t="s">
        <v>5</v>
      </c>
      <c r="AA5" s="75" t="s">
        <v>4</v>
      </c>
      <c r="AB5" s="75" t="s">
        <v>5</v>
      </c>
      <c r="AC5" s="75" t="s">
        <v>4</v>
      </c>
      <c r="AD5" s="75" t="s">
        <v>5</v>
      </c>
      <c r="AE5" s="75" t="s">
        <v>4</v>
      </c>
      <c r="AF5" s="75" t="s">
        <v>5</v>
      </c>
      <c r="AG5" s="75" t="s">
        <v>4</v>
      </c>
      <c r="AH5" s="75" t="s">
        <v>5</v>
      </c>
      <c r="AI5" s="75" t="s">
        <v>4</v>
      </c>
      <c r="AJ5" s="75" t="s">
        <v>5</v>
      </c>
      <c r="AK5" s="75" t="s">
        <v>4</v>
      </c>
      <c r="AL5" s="75" t="s">
        <v>5</v>
      </c>
      <c r="AM5" s="75" t="s">
        <v>4</v>
      </c>
      <c r="AN5" s="75" t="s">
        <v>5</v>
      </c>
      <c r="AO5" s="75" t="s">
        <v>4</v>
      </c>
      <c r="AP5" s="75" t="s">
        <v>5</v>
      </c>
      <c r="AQ5" s="75" t="s">
        <v>4</v>
      </c>
      <c r="AR5" s="75" t="s">
        <v>5</v>
      </c>
    </row>
    <row r="6" spans="1:44" ht="31.5" customHeight="1" x14ac:dyDescent="0.75">
      <c r="A6" s="39" t="s">
        <v>6</v>
      </c>
      <c r="B6" s="18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  <c r="N6" s="34"/>
      <c r="O6" s="34"/>
      <c r="P6" s="34"/>
      <c r="Q6" s="35"/>
      <c r="R6" s="35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93" t="s">
        <v>139</v>
      </c>
      <c r="AJ6" s="94"/>
      <c r="AK6" s="34"/>
      <c r="AL6" s="34"/>
      <c r="AM6" s="34"/>
      <c r="AN6" s="34"/>
      <c r="AO6" s="34"/>
      <c r="AP6" s="34"/>
      <c r="AQ6" s="34"/>
      <c r="AR6" s="34"/>
    </row>
    <row r="7" spans="1:44" ht="25.5" customHeight="1" x14ac:dyDescent="0.75">
      <c r="A7" s="40" t="s">
        <v>32</v>
      </c>
      <c r="B7" s="19"/>
      <c r="C7" s="24"/>
      <c r="D7" s="24"/>
      <c r="E7" s="24"/>
      <c r="F7" s="24"/>
      <c r="G7" s="24"/>
      <c r="H7" s="24"/>
      <c r="I7" s="24"/>
      <c r="J7" s="24"/>
      <c r="K7" s="24"/>
      <c r="L7" s="24"/>
      <c r="M7" s="27"/>
      <c r="N7" s="27"/>
      <c r="O7" s="27"/>
      <c r="P7" s="27"/>
      <c r="Q7" s="25"/>
      <c r="R7" s="25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spans="1:44" ht="25.5" customHeight="1" x14ac:dyDescent="0.75">
      <c r="A8" s="41" t="s">
        <v>33</v>
      </c>
      <c r="B8" s="20" t="s">
        <v>7</v>
      </c>
      <c r="C8" s="24">
        <v>3735</v>
      </c>
      <c r="D8" s="24">
        <v>7569</v>
      </c>
      <c r="E8" s="24">
        <v>4390</v>
      </c>
      <c r="F8" s="24">
        <v>7905</v>
      </c>
      <c r="G8" s="24">
        <v>4950</v>
      </c>
      <c r="H8" s="24">
        <v>7650</v>
      </c>
      <c r="I8" s="24">
        <v>3450</v>
      </c>
      <c r="J8" s="24">
        <v>4783</v>
      </c>
      <c r="K8" s="24">
        <v>4620</v>
      </c>
      <c r="L8" s="24">
        <v>5539</v>
      </c>
      <c r="M8" s="24">
        <v>4715</v>
      </c>
      <c r="N8" s="24">
        <v>6226</v>
      </c>
      <c r="O8" s="24">
        <v>4735</v>
      </c>
      <c r="P8" s="24">
        <v>6669</v>
      </c>
      <c r="Q8" s="25">
        <v>4745</v>
      </c>
      <c r="R8" s="25">
        <v>6274</v>
      </c>
      <c r="S8" s="26">
        <v>4745</v>
      </c>
      <c r="T8" s="26">
        <v>6251</v>
      </c>
      <c r="U8" s="26">
        <v>4765</v>
      </c>
      <c r="V8" s="26">
        <v>5853</v>
      </c>
      <c r="W8" s="26">
        <v>4775</v>
      </c>
      <c r="X8" s="26">
        <v>5570</v>
      </c>
      <c r="Y8" s="26">
        <v>4870</v>
      </c>
      <c r="Z8" s="26">
        <v>5554</v>
      </c>
      <c r="AA8" s="26">
        <v>4870</v>
      </c>
      <c r="AB8" s="26">
        <v>4870</v>
      </c>
      <c r="AC8" s="26">
        <v>4850</v>
      </c>
      <c r="AD8" s="26">
        <v>5057</v>
      </c>
      <c r="AE8" s="26">
        <v>4859</v>
      </c>
      <c r="AF8" s="26">
        <v>4915</v>
      </c>
      <c r="AG8" s="26">
        <v>5917</v>
      </c>
      <c r="AH8" s="26">
        <f>SUM('[1]สรุป ฟป.5'!D10)</f>
        <v>6460</v>
      </c>
      <c r="AI8" s="26">
        <v>6091</v>
      </c>
      <c r="AJ8" s="26">
        <v>8049</v>
      </c>
      <c r="AK8" s="26">
        <v>6064</v>
      </c>
      <c r="AL8" s="26">
        <v>7713</v>
      </c>
      <c r="AM8" s="26">
        <v>6580</v>
      </c>
      <c r="AN8" s="26">
        <v>6950</v>
      </c>
      <c r="AO8" s="26"/>
      <c r="AP8" s="26"/>
      <c r="AQ8" s="26"/>
      <c r="AR8" s="26"/>
    </row>
    <row r="9" spans="1:44" ht="25.5" customHeight="1" x14ac:dyDescent="0.75">
      <c r="A9" s="41" t="s">
        <v>34</v>
      </c>
      <c r="B9" s="20" t="s">
        <v>7</v>
      </c>
      <c r="C9" s="24">
        <v>855</v>
      </c>
      <c r="D9" s="24">
        <v>2335</v>
      </c>
      <c r="E9" s="24">
        <v>996</v>
      </c>
      <c r="F9" s="24">
        <v>2688</v>
      </c>
      <c r="G9" s="24">
        <v>1104</v>
      </c>
      <c r="H9" s="24">
        <v>5834</v>
      </c>
      <c r="I9" s="24">
        <v>1728</v>
      </c>
      <c r="J9" s="24">
        <v>2374</v>
      </c>
      <c r="K9" s="24">
        <v>1728</v>
      </c>
      <c r="L9" s="24">
        <v>3111</v>
      </c>
      <c r="M9" s="24">
        <v>1900</v>
      </c>
      <c r="N9" s="24">
        <v>1985</v>
      </c>
      <c r="O9" s="24">
        <v>1900</v>
      </c>
      <c r="P9" s="24">
        <v>1917</v>
      </c>
      <c r="Q9" s="25">
        <v>1900</v>
      </c>
      <c r="R9" s="25">
        <v>2066</v>
      </c>
      <c r="S9" s="26">
        <v>1900</v>
      </c>
      <c r="T9" s="26">
        <v>2077</v>
      </c>
      <c r="U9" s="26">
        <v>1930</v>
      </c>
      <c r="V9" s="26">
        <v>3382</v>
      </c>
      <c r="W9" s="26">
        <f>SUM([2]ปชส!C9)</f>
        <v>1930</v>
      </c>
      <c r="X9" s="26">
        <v>2963</v>
      </c>
      <c r="Y9" s="26">
        <v>1930</v>
      </c>
      <c r="Z9" s="26">
        <v>2701</v>
      </c>
      <c r="AA9" s="26">
        <v>1930</v>
      </c>
      <c r="AB9" s="26">
        <v>7968</v>
      </c>
      <c r="AC9" s="26">
        <v>1700</v>
      </c>
      <c r="AD9" s="26">
        <v>5619</v>
      </c>
      <c r="AE9" s="26">
        <v>1714</v>
      </c>
      <c r="AF9" s="26">
        <v>3222</v>
      </c>
      <c r="AG9" s="26">
        <v>2616</v>
      </c>
      <c r="AH9" s="26">
        <f>SUM('[1]สรุป ฟป.5'!D11)</f>
        <v>7084</v>
      </c>
      <c r="AI9" s="26">
        <v>2556</v>
      </c>
      <c r="AJ9" s="26">
        <v>2976</v>
      </c>
      <c r="AK9" s="26">
        <v>2226</v>
      </c>
      <c r="AL9" s="26">
        <v>2485</v>
      </c>
      <c r="AM9" s="26">
        <v>2701</v>
      </c>
      <c r="AN9" s="26">
        <v>2925</v>
      </c>
      <c r="AO9" s="26"/>
      <c r="AP9" s="26"/>
      <c r="AQ9" s="26"/>
      <c r="AR9" s="26"/>
    </row>
    <row r="10" spans="1:44" ht="25.5" customHeight="1" x14ac:dyDescent="0.75">
      <c r="A10" s="41" t="s">
        <v>35</v>
      </c>
      <c r="B10" s="20" t="s">
        <v>8</v>
      </c>
      <c r="C10" s="24">
        <v>6115</v>
      </c>
      <c r="D10" s="24">
        <v>6775</v>
      </c>
      <c r="E10" s="24">
        <v>7040</v>
      </c>
      <c r="F10" s="24">
        <v>8155</v>
      </c>
      <c r="G10" s="24">
        <v>7990</v>
      </c>
      <c r="H10" s="24">
        <v>8180</v>
      </c>
      <c r="I10" s="24" t="s">
        <v>23</v>
      </c>
      <c r="J10" s="24">
        <v>1877</v>
      </c>
      <c r="K10" s="24">
        <v>500</v>
      </c>
      <c r="L10" s="24">
        <v>1236</v>
      </c>
      <c r="M10" s="24">
        <v>500</v>
      </c>
      <c r="N10" s="24">
        <v>1443</v>
      </c>
      <c r="O10" s="24">
        <v>10200</v>
      </c>
      <c r="P10" s="24">
        <v>10301</v>
      </c>
      <c r="Q10" s="25">
        <v>10750</v>
      </c>
      <c r="R10" s="25">
        <v>10857</v>
      </c>
      <c r="S10" s="26">
        <v>10750</v>
      </c>
      <c r="T10" s="26">
        <v>11091</v>
      </c>
      <c r="U10" s="26">
        <v>10800</v>
      </c>
      <c r="V10" s="26">
        <v>11015</v>
      </c>
      <c r="W10" s="26">
        <v>10825</v>
      </c>
      <c r="X10" s="26">
        <v>10984</v>
      </c>
      <c r="Y10" s="26">
        <v>11050</v>
      </c>
      <c r="Z10" s="26">
        <v>11164</v>
      </c>
      <c r="AA10" s="26">
        <v>11050</v>
      </c>
      <c r="AB10" s="26">
        <v>11050</v>
      </c>
      <c r="AC10" s="26">
        <v>9260</v>
      </c>
      <c r="AD10" s="26">
        <v>9535</v>
      </c>
      <c r="AE10" s="26">
        <v>9292</v>
      </c>
      <c r="AF10" s="26">
        <v>9655</v>
      </c>
      <c r="AG10" s="26">
        <v>8750</v>
      </c>
      <c r="AH10" s="26">
        <f>SUM('[1]สรุป ฟป.5'!D12)</f>
        <v>9064</v>
      </c>
      <c r="AI10" s="26">
        <v>7215</v>
      </c>
      <c r="AJ10" s="26">
        <v>9177</v>
      </c>
      <c r="AK10" s="26">
        <v>9292</v>
      </c>
      <c r="AL10" s="26">
        <v>9395</v>
      </c>
      <c r="AM10" s="26">
        <v>10184</v>
      </c>
      <c r="AN10" s="26">
        <v>12580</v>
      </c>
      <c r="AO10" s="26"/>
      <c r="AP10" s="26"/>
      <c r="AQ10" s="26"/>
      <c r="AR10" s="26"/>
    </row>
    <row r="11" spans="1:44" ht="25.5" customHeight="1" x14ac:dyDescent="0.75">
      <c r="A11" s="41" t="s">
        <v>36</v>
      </c>
      <c r="B11" s="20" t="s">
        <v>9</v>
      </c>
      <c r="C11" s="24">
        <v>312000</v>
      </c>
      <c r="D11" s="24">
        <v>429646</v>
      </c>
      <c r="E11" s="24">
        <v>386800</v>
      </c>
      <c r="F11" s="24">
        <v>491020</v>
      </c>
      <c r="G11" s="24">
        <v>430000</v>
      </c>
      <c r="H11" s="24">
        <v>525076</v>
      </c>
      <c r="I11" s="24">
        <v>205200</v>
      </c>
      <c r="J11" s="24">
        <v>376491</v>
      </c>
      <c r="K11" s="24">
        <v>205200</v>
      </c>
      <c r="L11" s="24">
        <v>376834</v>
      </c>
      <c r="M11" s="24">
        <v>288500</v>
      </c>
      <c r="N11" s="24">
        <v>290150</v>
      </c>
      <c r="O11" s="24">
        <v>288500</v>
      </c>
      <c r="P11" s="24">
        <v>341008</v>
      </c>
      <c r="Q11" s="25">
        <v>288500</v>
      </c>
      <c r="R11" s="25">
        <v>290530</v>
      </c>
      <c r="S11" s="26">
        <v>288500</v>
      </c>
      <c r="T11" s="26">
        <v>314441</v>
      </c>
      <c r="U11" s="26">
        <v>292500</v>
      </c>
      <c r="V11" s="26">
        <v>366006</v>
      </c>
      <c r="W11" s="26">
        <v>298500</v>
      </c>
      <c r="X11" s="26">
        <v>312025</v>
      </c>
      <c r="Y11" s="26">
        <v>298500</v>
      </c>
      <c r="Z11" s="26">
        <v>323271</v>
      </c>
      <c r="AA11" s="26">
        <v>298500</v>
      </c>
      <c r="AB11" s="26">
        <v>298500</v>
      </c>
      <c r="AC11" s="26">
        <v>260000</v>
      </c>
      <c r="AD11" s="26">
        <v>275550</v>
      </c>
      <c r="AE11" s="26">
        <v>265600</v>
      </c>
      <c r="AF11" s="26">
        <v>275250</v>
      </c>
      <c r="AG11" s="26">
        <v>248420</v>
      </c>
      <c r="AH11" s="26">
        <f>SUM('[1]สรุป ฟป.5'!D13)</f>
        <v>266186</v>
      </c>
      <c r="AI11" s="26">
        <v>232600</v>
      </c>
      <c r="AJ11" s="26">
        <v>419732</v>
      </c>
      <c r="AK11" s="26">
        <v>424310</v>
      </c>
      <c r="AL11" s="26">
        <v>652651</v>
      </c>
      <c r="AM11" s="26">
        <v>502000</v>
      </c>
      <c r="AN11" s="26">
        <v>542065</v>
      </c>
      <c r="AO11" s="26"/>
      <c r="AP11" s="26"/>
      <c r="AQ11" s="26"/>
      <c r="AR11" s="26"/>
    </row>
    <row r="12" spans="1:44" ht="25.5" customHeight="1" x14ac:dyDescent="0.75">
      <c r="A12" s="40" t="s">
        <v>37</v>
      </c>
      <c r="B12" s="20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</row>
    <row r="13" spans="1:44" ht="25.5" customHeight="1" x14ac:dyDescent="0.75">
      <c r="A13" s="41" t="s">
        <v>38</v>
      </c>
      <c r="B13" s="20" t="s">
        <v>10</v>
      </c>
      <c r="C13" s="24">
        <v>125600</v>
      </c>
      <c r="D13" s="24">
        <v>185482</v>
      </c>
      <c r="E13" s="24">
        <v>157600</v>
      </c>
      <c r="F13" s="24">
        <v>257021</v>
      </c>
      <c r="G13" s="24">
        <v>175600</v>
      </c>
      <c r="H13" s="24">
        <v>262037</v>
      </c>
      <c r="I13" s="24">
        <v>81100</v>
      </c>
      <c r="J13" s="24">
        <v>191488</v>
      </c>
      <c r="K13" s="24">
        <v>81100</v>
      </c>
      <c r="L13" s="24">
        <v>234162</v>
      </c>
      <c r="M13" s="24">
        <v>133750</v>
      </c>
      <c r="N13" s="24">
        <v>158554</v>
      </c>
      <c r="O13" s="24">
        <v>133750</v>
      </c>
      <c r="P13" s="24">
        <v>187279</v>
      </c>
      <c r="Q13" s="25">
        <v>133750</v>
      </c>
      <c r="R13" s="25">
        <v>157324</v>
      </c>
      <c r="S13" s="26">
        <v>133750</v>
      </c>
      <c r="T13" s="26">
        <v>183738</v>
      </c>
      <c r="U13" s="26">
        <v>135750</v>
      </c>
      <c r="V13" s="26">
        <v>146315</v>
      </c>
      <c r="W13" s="26">
        <v>138750</v>
      </c>
      <c r="X13" s="26">
        <v>150795</v>
      </c>
      <c r="Y13" s="26">
        <v>138750</v>
      </c>
      <c r="Z13" s="26">
        <v>148726</v>
      </c>
      <c r="AA13" s="26">
        <v>138750</v>
      </c>
      <c r="AB13" s="26">
        <v>138750</v>
      </c>
      <c r="AC13" s="26">
        <v>115000</v>
      </c>
      <c r="AD13" s="26">
        <v>118555</v>
      </c>
      <c r="AE13" s="26">
        <v>117800</v>
      </c>
      <c r="AF13" s="26">
        <v>118210</v>
      </c>
      <c r="AG13" s="46">
        <v>122580</v>
      </c>
      <c r="AH13" s="26">
        <f>SUM('[1]สรุป ฟป.5'!D15)</f>
        <v>107490</v>
      </c>
      <c r="AI13" s="46">
        <v>123100</v>
      </c>
      <c r="AJ13" s="26">
        <v>128447</v>
      </c>
      <c r="AK13" s="46">
        <v>136350</v>
      </c>
      <c r="AL13" s="26">
        <v>215666</v>
      </c>
      <c r="AM13" s="46">
        <v>180850</v>
      </c>
      <c r="AN13" s="26">
        <v>183050</v>
      </c>
      <c r="AO13" s="46"/>
      <c r="AP13" s="26"/>
      <c r="AQ13" s="46"/>
      <c r="AR13" s="26"/>
    </row>
    <row r="14" spans="1:44" ht="25.5" customHeight="1" x14ac:dyDescent="0.75">
      <c r="A14" s="41" t="s">
        <v>39</v>
      </c>
      <c r="B14" s="20" t="s">
        <v>7</v>
      </c>
      <c r="C14" s="24">
        <v>747</v>
      </c>
      <c r="D14" s="24">
        <v>1012</v>
      </c>
      <c r="E14" s="24">
        <v>909</v>
      </c>
      <c r="F14" s="24">
        <v>1044</v>
      </c>
      <c r="G14" s="24">
        <v>1014</v>
      </c>
      <c r="H14" s="24">
        <v>1252</v>
      </c>
      <c r="I14" s="24">
        <v>480</v>
      </c>
      <c r="J14" s="24">
        <v>636</v>
      </c>
      <c r="K14" s="24">
        <v>480</v>
      </c>
      <c r="L14" s="24">
        <v>876</v>
      </c>
      <c r="M14" s="24">
        <v>640</v>
      </c>
      <c r="N14" s="24">
        <v>587</v>
      </c>
      <c r="O14" s="24">
        <v>640</v>
      </c>
      <c r="P14" s="24">
        <v>701</v>
      </c>
      <c r="Q14" s="25">
        <v>775</v>
      </c>
      <c r="R14" s="25">
        <v>818</v>
      </c>
      <c r="S14" s="26">
        <v>775</v>
      </c>
      <c r="T14" s="26">
        <v>795</v>
      </c>
      <c r="U14" s="26">
        <v>805</v>
      </c>
      <c r="V14" s="26">
        <v>808</v>
      </c>
      <c r="W14" s="26">
        <f>SUM([2]ปชส!C14)</f>
        <v>805</v>
      </c>
      <c r="X14" s="26">
        <v>822</v>
      </c>
      <c r="Y14" s="26">
        <v>810</v>
      </c>
      <c r="Z14" s="26">
        <v>852</v>
      </c>
      <c r="AA14" s="26">
        <v>810</v>
      </c>
      <c r="AB14" s="26">
        <v>810</v>
      </c>
      <c r="AC14" s="26">
        <v>810</v>
      </c>
      <c r="AD14" s="26">
        <v>923</v>
      </c>
      <c r="AE14" s="26">
        <v>824</v>
      </c>
      <c r="AF14" s="26">
        <v>915</v>
      </c>
      <c r="AG14" s="46">
        <v>1058</v>
      </c>
      <c r="AH14" s="26">
        <f>SUM('[1]สรุป ฟป.5'!D16)</f>
        <v>1023</v>
      </c>
      <c r="AI14" s="46">
        <v>1065</v>
      </c>
      <c r="AJ14" s="26">
        <v>1223</v>
      </c>
      <c r="AK14" s="46">
        <v>1253</v>
      </c>
      <c r="AL14" s="26">
        <v>1367</v>
      </c>
      <c r="AM14" s="46">
        <v>1342</v>
      </c>
      <c r="AN14" s="26">
        <v>1455</v>
      </c>
      <c r="AO14" s="46"/>
      <c r="AP14" s="26"/>
      <c r="AQ14" s="46"/>
      <c r="AR14" s="26"/>
    </row>
    <row r="15" spans="1:44" ht="25.5" customHeight="1" x14ac:dyDescent="0.75">
      <c r="A15" s="40" t="s">
        <v>40</v>
      </c>
      <c r="B15" s="2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5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spans="1:44" ht="25.5" customHeight="1" x14ac:dyDescent="0.75">
      <c r="A16" s="41" t="s">
        <v>41</v>
      </c>
      <c r="B16" s="20" t="s">
        <v>7</v>
      </c>
      <c r="C16" s="24">
        <v>2020</v>
      </c>
      <c r="D16" s="24">
        <v>3160</v>
      </c>
      <c r="E16" s="24">
        <v>2445</v>
      </c>
      <c r="F16" s="24">
        <v>3272</v>
      </c>
      <c r="G16" s="24">
        <v>2820</v>
      </c>
      <c r="H16" s="24">
        <v>3418</v>
      </c>
      <c r="I16" s="24">
        <v>1160</v>
      </c>
      <c r="J16" s="24">
        <v>1419</v>
      </c>
      <c r="K16" s="24">
        <v>1160</v>
      </c>
      <c r="L16" s="24">
        <v>1802</v>
      </c>
      <c r="M16" s="24">
        <v>1375</v>
      </c>
      <c r="N16" s="24">
        <v>1351</v>
      </c>
      <c r="O16" s="24">
        <v>1375</v>
      </c>
      <c r="P16" s="24">
        <v>1531</v>
      </c>
      <c r="Q16" s="25">
        <v>2460</v>
      </c>
      <c r="R16" s="25">
        <v>2638</v>
      </c>
      <c r="S16" s="26">
        <v>2460</v>
      </c>
      <c r="T16" s="26">
        <v>2837</v>
      </c>
      <c r="U16" s="26">
        <v>2485</v>
      </c>
      <c r="V16" s="26">
        <v>2858</v>
      </c>
      <c r="W16" s="26">
        <f>SUM([2]ปชส!C16)</f>
        <v>2485</v>
      </c>
      <c r="X16" s="26">
        <v>2556</v>
      </c>
      <c r="Y16" s="26">
        <v>2540</v>
      </c>
      <c r="Z16" s="26">
        <v>2737</v>
      </c>
      <c r="AA16" s="26">
        <v>2540</v>
      </c>
      <c r="AB16" s="26">
        <v>2540</v>
      </c>
      <c r="AC16" s="26">
        <v>2365</v>
      </c>
      <c r="AD16" s="26">
        <v>2476</v>
      </c>
      <c r="AE16" s="26">
        <v>2376</v>
      </c>
      <c r="AF16" s="26">
        <v>2480</v>
      </c>
      <c r="AG16" s="46">
        <v>2094</v>
      </c>
      <c r="AH16" s="26">
        <f>SUM('[1]สรุป ฟป.5'!D18)</f>
        <v>2111</v>
      </c>
      <c r="AI16" s="46">
        <v>2128</v>
      </c>
      <c r="AJ16" s="26">
        <v>2327</v>
      </c>
      <c r="AK16" s="46">
        <v>2102</v>
      </c>
      <c r="AL16" s="26">
        <v>2219</v>
      </c>
      <c r="AM16" s="46">
        <v>2257</v>
      </c>
      <c r="AN16" s="26">
        <v>2300</v>
      </c>
      <c r="AO16" s="46"/>
      <c r="AP16" s="26"/>
      <c r="AQ16" s="46"/>
      <c r="AR16" s="26"/>
    </row>
    <row r="17" spans="1:44" s="15" customFormat="1" ht="25.5" customHeight="1" x14ac:dyDescent="0.75">
      <c r="A17" s="41" t="s">
        <v>42</v>
      </c>
      <c r="B17" s="20" t="s">
        <v>7</v>
      </c>
      <c r="C17" s="24">
        <v>215</v>
      </c>
      <c r="D17" s="24">
        <v>241</v>
      </c>
      <c r="E17" s="24">
        <v>233</v>
      </c>
      <c r="F17" s="24">
        <v>810</v>
      </c>
      <c r="G17" s="24">
        <v>293</v>
      </c>
      <c r="H17" s="24">
        <v>293</v>
      </c>
      <c r="I17" s="24">
        <v>152</v>
      </c>
      <c r="J17" s="24">
        <v>152</v>
      </c>
      <c r="K17" s="24">
        <v>81</v>
      </c>
      <c r="L17" s="24">
        <v>95</v>
      </c>
      <c r="M17" s="24">
        <v>119</v>
      </c>
      <c r="N17" s="24">
        <v>80</v>
      </c>
      <c r="O17" s="24">
        <v>88</v>
      </c>
      <c r="P17" s="24">
        <v>89</v>
      </c>
      <c r="Q17" s="25">
        <v>74</v>
      </c>
      <c r="R17" s="25">
        <v>74</v>
      </c>
      <c r="S17" s="26">
        <v>30</v>
      </c>
      <c r="T17" s="26">
        <v>30</v>
      </c>
      <c r="U17" s="26">
        <v>12</v>
      </c>
      <c r="V17" s="26">
        <v>12</v>
      </c>
      <c r="W17" s="26">
        <v>5</v>
      </c>
      <c r="X17" s="26">
        <v>5</v>
      </c>
      <c r="Y17" s="26">
        <v>5</v>
      </c>
      <c r="Z17" s="26">
        <v>5</v>
      </c>
      <c r="AA17" s="26">
        <v>5</v>
      </c>
      <c r="AB17" s="26">
        <v>5</v>
      </c>
      <c r="AC17" s="26">
        <v>5</v>
      </c>
      <c r="AD17" s="26">
        <v>5</v>
      </c>
      <c r="AE17" s="26">
        <v>5</v>
      </c>
      <c r="AF17" s="26">
        <v>5</v>
      </c>
      <c r="AG17" s="46">
        <v>5</v>
      </c>
      <c r="AH17" s="26">
        <v>5</v>
      </c>
      <c r="AI17" s="46">
        <v>5</v>
      </c>
      <c r="AJ17" s="26">
        <v>5</v>
      </c>
      <c r="AK17" s="46">
        <v>5</v>
      </c>
      <c r="AL17" s="26">
        <v>5</v>
      </c>
      <c r="AM17" s="46">
        <v>4</v>
      </c>
      <c r="AN17" s="26">
        <v>4</v>
      </c>
      <c r="AO17" s="46"/>
      <c r="AP17" s="26"/>
      <c r="AQ17" s="46"/>
      <c r="AR17" s="26"/>
    </row>
    <row r="18" spans="1:44" ht="25.5" customHeight="1" x14ac:dyDescent="0.75">
      <c r="A18" s="21" t="s">
        <v>43</v>
      </c>
      <c r="B18" s="2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5"/>
      <c r="S18" s="26"/>
      <c r="T18" s="26"/>
      <c r="U18" s="26">
        <v>141</v>
      </c>
      <c r="V18" s="26">
        <v>141</v>
      </c>
      <c r="W18" s="26">
        <f>SUM([2]ปชส!C18)</f>
        <v>141</v>
      </c>
      <c r="X18" s="26">
        <v>141</v>
      </c>
      <c r="Y18" s="26">
        <v>141</v>
      </c>
      <c r="Z18" s="26">
        <v>141</v>
      </c>
      <c r="AA18" s="26">
        <v>141</v>
      </c>
      <c r="AB18" s="26">
        <v>141</v>
      </c>
      <c r="AC18" s="26">
        <v>21</v>
      </c>
      <c r="AD18" s="26">
        <v>21</v>
      </c>
      <c r="AE18" s="26">
        <v>21</v>
      </c>
      <c r="AF18" s="26">
        <v>21</v>
      </c>
      <c r="AG18" s="26">
        <v>21</v>
      </c>
      <c r="AH18" s="26">
        <v>21</v>
      </c>
      <c r="AI18" s="26">
        <v>21</v>
      </c>
      <c r="AJ18" s="26">
        <v>21</v>
      </c>
      <c r="AK18" s="26">
        <v>21</v>
      </c>
      <c r="AL18" s="26">
        <v>21</v>
      </c>
      <c r="AM18" s="26">
        <v>21</v>
      </c>
      <c r="AN18" s="26">
        <v>21</v>
      </c>
      <c r="AO18" s="26"/>
      <c r="AP18" s="26"/>
      <c r="AQ18" s="26"/>
      <c r="AR18" s="26"/>
    </row>
    <row r="19" spans="1:44" ht="25.5" customHeight="1" x14ac:dyDescent="0.75">
      <c r="A19" s="42" t="s">
        <v>44</v>
      </c>
      <c r="B19" s="2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5"/>
      <c r="S19" s="27"/>
      <c r="T19" s="27"/>
      <c r="U19" s="27"/>
      <c r="V19" s="27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spans="1:44" ht="25.5" customHeight="1" x14ac:dyDescent="0.75">
      <c r="A20" s="22" t="s">
        <v>45</v>
      </c>
      <c r="B20" s="2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5"/>
      <c r="S20" s="27"/>
      <c r="T20" s="27"/>
      <c r="U20" s="27"/>
      <c r="V20" s="27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spans="1:44" ht="25.5" customHeight="1" x14ac:dyDescent="0.75">
      <c r="A21" s="43" t="s">
        <v>46</v>
      </c>
      <c r="B21" s="20" t="s">
        <v>11</v>
      </c>
      <c r="C21" s="24">
        <v>17084930</v>
      </c>
      <c r="D21" s="24">
        <v>17084930</v>
      </c>
      <c r="E21" s="24">
        <v>29243652</v>
      </c>
      <c r="F21" s="24">
        <v>29487167</v>
      </c>
      <c r="G21" s="24">
        <v>33837070</v>
      </c>
      <c r="H21" s="24">
        <f>G21</f>
        <v>33837070</v>
      </c>
      <c r="I21" s="24">
        <v>36188369</v>
      </c>
      <c r="J21" s="24">
        <v>36188369</v>
      </c>
      <c r="K21" s="24">
        <v>36688369</v>
      </c>
      <c r="L21" s="24">
        <v>36688369</v>
      </c>
      <c r="M21" s="24">
        <v>37420884</v>
      </c>
      <c r="N21" s="24">
        <v>37420884</v>
      </c>
      <c r="O21" s="24">
        <v>37420884</v>
      </c>
      <c r="P21" s="24">
        <v>37420884</v>
      </c>
      <c r="Q21" s="25">
        <v>21062500</v>
      </c>
      <c r="R21" s="25">
        <v>21062500</v>
      </c>
      <c r="S21" s="26">
        <v>21062500</v>
      </c>
      <c r="T21" s="26">
        <v>21062500</v>
      </c>
      <c r="U21" s="26">
        <v>21062500</v>
      </c>
      <c r="V21" s="26">
        <v>21062500</v>
      </c>
      <c r="W21" s="26">
        <f>SUM([2]ปชส!C21)</f>
        <v>21062500</v>
      </c>
      <c r="X21" s="26">
        <v>21062500</v>
      </c>
      <c r="Y21" s="26">
        <v>21062500</v>
      </c>
      <c r="Z21" s="26">
        <v>21062500</v>
      </c>
      <c r="AA21" s="26">
        <v>21062500</v>
      </c>
      <c r="AB21" s="26">
        <v>21062500</v>
      </c>
      <c r="AC21" s="26">
        <v>21250000</v>
      </c>
      <c r="AD21" s="26">
        <v>21250000</v>
      </c>
      <c r="AE21" s="26">
        <v>21375000</v>
      </c>
      <c r="AF21" s="26">
        <v>21375000</v>
      </c>
      <c r="AG21" s="47">
        <v>21625000</v>
      </c>
      <c r="AH21" s="47">
        <v>21625000</v>
      </c>
      <c r="AI21" s="47">
        <v>21812500</v>
      </c>
      <c r="AJ21" s="47">
        <v>21812500</v>
      </c>
      <c r="AK21" s="47">
        <v>22000000</v>
      </c>
      <c r="AL21" s="47">
        <v>22000000</v>
      </c>
      <c r="AM21" s="47">
        <v>22812500</v>
      </c>
      <c r="AN21" s="47">
        <v>22812500</v>
      </c>
      <c r="AO21" s="47"/>
      <c r="AP21" s="47"/>
      <c r="AQ21" s="47"/>
      <c r="AR21" s="47"/>
    </row>
    <row r="22" spans="1:44" ht="25.5" customHeight="1" x14ac:dyDescent="0.75">
      <c r="A22" s="43" t="s">
        <v>47</v>
      </c>
      <c r="B22" s="20" t="s">
        <v>12</v>
      </c>
      <c r="C22" s="24">
        <v>2910</v>
      </c>
      <c r="D22" s="24">
        <v>2880</v>
      </c>
      <c r="E22" s="24">
        <v>3780</v>
      </c>
      <c r="F22" s="24">
        <v>4047</v>
      </c>
      <c r="G22" s="24">
        <v>4080</v>
      </c>
      <c r="H22" s="24">
        <f>SUM([3]สรุปผลงาน!$N$173)</f>
        <v>4777</v>
      </c>
      <c r="I22" s="24">
        <v>4575</v>
      </c>
      <c r="J22" s="24">
        <v>4575</v>
      </c>
      <c r="K22" s="24">
        <v>4867</v>
      </c>
      <c r="L22" s="24">
        <v>4867</v>
      </c>
      <c r="M22" s="24">
        <v>5010</v>
      </c>
      <c r="N22" s="24">
        <v>5010</v>
      </c>
      <c r="O22" s="24">
        <v>5870</v>
      </c>
      <c r="P22" s="24">
        <v>5870</v>
      </c>
      <c r="Q22" s="25">
        <v>6282</v>
      </c>
      <c r="R22" s="25">
        <v>6282</v>
      </c>
      <c r="S22" s="26">
        <v>5075</v>
      </c>
      <c r="T22" s="26">
        <v>5075</v>
      </c>
      <c r="U22" s="26">
        <v>5063</v>
      </c>
      <c r="V22" s="26">
        <v>5063</v>
      </c>
      <c r="W22" s="26">
        <f>SUM([2]ปชส!C22)</f>
        <v>5063</v>
      </c>
      <c r="X22" s="26">
        <v>5063</v>
      </c>
      <c r="Y22" s="26">
        <v>5063</v>
      </c>
      <c r="Z22" s="26">
        <v>5063</v>
      </c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>
        <f>AK23*15</f>
        <v>5280</v>
      </c>
      <c r="AL22" s="26">
        <f>AL23*15</f>
        <v>5280</v>
      </c>
      <c r="AM22" s="26">
        <f>AM23*15</f>
        <v>5475</v>
      </c>
      <c r="AN22" s="26">
        <f>SUM(AM22)</f>
        <v>5475</v>
      </c>
      <c r="AO22" s="26"/>
      <c r="AP22" s="26"/>
      <c r="AQ22" s="26"/>
      <c r="AR22" s="26"/>
    </row>
    <row r="23" spans="1:44" ht="25.5" customHeight="1" x14ac:dyDescent="0.75">
      <c r="A23" s="43" t="s">
        <v>48</v>
      </c>
      <c r="B23" s="20" t="s">
        <v>13</v>
      </c>
      <c r="C23" s="24">
        <v>193</v>
      </c>
      <c r="D23" s="24">
        <v>192</v>
      </c>
      <c r="E23" s="24">
        <v>252</v>
      </c>
      <c r="F23" s="24">
        <v>269</v>
      </c>
      <c r="G23" s="24">
        <v>272</v>
      </c>
      <c r="H23" s="24">
        <v>272</v>
      </c>
      <c r="I23" s="24">
        <v>305</v>
      </c>
      <c r="J23" s="24">
        <v>305</v>
      </c>
      <c r="K23" s="24">
        <v>325</v>
      </c>
      <c r="L23" s="24">
        <v>325</v>
      </c>
      <c r="M23" s="24">
        <v>334</v>
      </c>
      <c r="N23" s="24">
        <v>334</v>
      </c>
      <c r="O23" s="24">
        <v>336</v>
      </c>
      <c r="P23" s="24">
        <v>336</v>
      </c>
      <c r="Q23" s="25">
        <v>337</v>
      </c>
      <c r="R23" s="25">
        <v>337</v>
      </c>
      <c r="S23" s="26">
        <v>337</v>
      </c>
      <c r="T23" s="26">
        <v>337</v>
      </c>
      <c r="U23" s="26">
        <v>337</v>
      </c>
      <c r="V23" s="26">
        <v>337</v>
      </c>
      <c r="W23" s="26">
        <f>SUM([2]ปชส!C23)</f>
        <v>337</v>
      </c>
      <c r="X23" s="26">
        <v>337</v>
      </c>
      <c r="Y23" s="26">
        <v>337</v>
      </c>
      <c r="Z23" s="26">
        <v>337</v>
      </c>
      <c r="AA23" s="26">
        <v>337</v>
      </c>
      <c r="AB23" s="26">
        <v>337</v>
      </c>
      <c r="AC23" s="26">
        <v>340</v>
      </c>
      <c r="AD23" s="26">
        <v>340</v>
      </c>
      <c r="AE23" s="26">
        <v>342</v>
      </c>
      <c r="AF23" s="26">
        <v>342</v>
      </c>
      <c r="AG23" s="47">
        <v>346</v>
      </c>
      <c r="AH23" s="47">
        <v>346</v>
      </c>
      <c r="AI23" s="47">
        <v>349</v>
      </c>
      <c r="AJ23" s="47">
        <v>349</v>
      </c>
      <c r="AK23" s="47">
        <v>352</v>
      </c>
      <c r="AL23" s="47">
        <v>352</v>
      </c>
      <c r="AM23" s="47">
        <v>365</v>
      </c>
      <c r="AN23" s="47">
        <v>365</v>
      </c>
      <c r="AO23" s="47"/>
      <c r="AP23" s="47"/>
      <c r="AQ23" s="47"/>
      <c r="AR23" s="47"/>
    </row>
    <row r="24" spans="1:44" ht="25.5" customHeight="1" x14ac:dyDescent="0.75">
      <c r="A24" s="43" t="s">
        <v>53</v>
      </c>
      <c r="B24" s="20" t="s">
        <v>14</v>
      </c>
      <c r="C24" s="24">
        <v>188000</v>
      </c>
      <c r="D24" s="24">
        <v>207200</v>
      </c>
      <c r="E24" s="24">
        <v>217000</v>
      </c>
      <c r="F24" s="24">
        <v>228000</v>
      </c>
      <c r="G24" s="24">
        <v>251002</v>
      </c>
      <c r="H24" s="24">
        <f>SUM([3]สรุปผลงาน!$P$173)</f>
        <v>364150</v>
      </c>
      <c r="I24" s="24">
        <v>305000</v>
      </c>
      <c r="J24" s="24">
        <v>305250</v>
      </c>
      <c r="K24" s="24" t="s">
        <v>23</v>
      </c>
      <c r="L24" s="24" t="s">
        <v>23</v>
      </c>
      <c r="M24" s="24" t="s">
        <v>23</v>
      </c>
      <c r="N24" s="24" t="s">
        <v>23</v>
      </c>
      <c r="O24" s="24" t="s">
        <v>23</v>
      </c>
      <c r="P24" s="24" t="s">
        <v>23</v>
      </c>
      <c r="Q24" s="24" t="s">
        <v>23</v>
      </c>
      <c r="R24" s="24" t="s">
        <v>23</v>
      </c>
      <c r="S24" s="24" t="s">
        <v>23</v>
      </c>
      <c r="T24" s="24" t="s">
        <v>23</v>
      </c>
      <c r="U24" s="24" t="s">
        <v>23</v>
      </c>
      <c r="V24" s="24" t="s">
        <v>23</v>
      </c>
      <c r="W24" s="24" t="s">
        <v>23</v>
      </c>
      <c r="X24" s="24" t="s">
        <v>23</v>
      </c>
      <c r="Y24" s="24" t="s">
        <v>23</v>
      </c>
      <c r="Z24" s="24" t="s">
        <v>23</v>
      </c>
      <c r="AA24" s="24" t="s">
        <v>23</v>
      </c>
      <c r="AB24" s="24" t="s">
        <v>23</v>
      </c>
      <c r="AC24" s="24" t="s">
        <v>23</v>
      </c>
      <c r="AD24" s="24" t="s">
        <v>23</v>
      </c>
      <c r="AE24" s="24" t="s">
        <v>23</v>
      </c>
      <c r="AF24" s="24" t="s">
        <v>23</v>
      </c>
      <c r="AG24" s="24" t="s">
        <v>23</v>
      </c>
      <c r="AH24" s="24" t="s">
        <v>23</v>
      </c>
      <c r="AI24" s="24" t="s">
        <v>23</v>
      </c>
      <c r="AJ24" s="24" t="s">
        <v>23</v>
      </c>
      <c r="AK24" s="24" t="s">
        <v>23</v>
      </c>
      <c r="AL24" s="24" t="s">
        <v>23</v>
      </c>
      <c r="AM24" s="24" t="s">
        <v>23</v>
      </c>
      <c r="AN24" s="24" t="s">
        <v>23</v>
      </c>
      <c r="AO24" s="24"/>
      <c r="AP24" s="24"/>
      <c r="AQ24" s="24"/>
      <c r="AR24" s="24"/>
    </row>
    <row r="25" spans="1:44" ht="25.5" customHeight="1" x14ac:dyDescent="0.75">
      <c r="A25" s="43" t="s">
        <v>54</v>
      </c>
      <c r="B25" s="20" t="s">
        <v>26</v>
      </c>
      <c r="C25" s="90" t="s">
        <v>27</v>
      </c>
      <c r="D25" s="91"/>
      <c r="E25" s="91"/>
      <c r="F25" s="91"/>
      <c r="G25" s="91"/>
      <c r="H25" s="91"/>
      <c r="I25" s="91"/>
      <c r="J25" s="92"/>
      <c r="K25" s="24">
        <v>4500</v>
      </c>
      <c r="L25" s="24">
        <v>4500</v>
      </c>
      <c r="M25" s="28">
        <v>4500</v>
      </c>
      <c r="N25" s="24">
        <v>8288</v>
      </c>
      <c r="O25" s="28">
        <v>3000</v>
      </c>
      <c r="P25" s="24">
        <v>3000</v>
      </c>
      <c r="Q25" s="25">
        <v>3000</v>
      </c>
      <c r="R25" s="25">
        <v>3000</v>
      </c>
      <c r="S25" s="26">
        <v>3000</v>
      </c>
      <c r="T25" s="26">
        <v>3000</v>
      </c>
      <c r="U25" s="26">
        <v>3000</v>
      </c>
      <c r="V25" s="26">
        <v>3000</v>
      </c>
      <c r="W25" s="26">
        <f>SUM([2]ปชส!C24)</f>
        <v>3000</v>
      </c>
      <c r="X25" s="26">
        <v>3000</v>
      </c>
      <c r="Y25" s="26">
        <v>3000</v>
      </c>
      <c r="Z25" s="26">
        <v>3000</v>
      </c>
      <c r="AA25" s="26">
        <v>3000</v>
      </c>
      <c r="AB25" s="26">
        <v>3000</v>
      </c>
      <c r="AC25" s="26">
        <v>10000</v>
      </c>
      <c r="AD25" s="26">
        <v>10000</v>
      </c>
      <c r="AE25" s="26">
        <v>3476</v>
      </c>
      <c r="AF25" s="26">
        <v>3476</v>
      </c>
      <c r="AG25" s="26">
        <v>3200</v>
      </c>
      <c r="AH25" s="26">
        <v>3200</v>
      </c>
      <c r="AI25" s="26">
        <v>4000</v>
      </c>
      <c r="AJ25" s="26">
        <v>4000</v>
      </c>
      <c r="AK25" s="26">
        <v>7500</v>
      </c>
      <c r="AL25" s="26">
        <v>7500</v>
      </c>
      <c r="AM25" s="26">
        <v>10000</v>
      </c>
      <c r="AN25" s="26">
        <v>10000</v>
      </c>
      <c r="AO25" s="26"/>
      <c r="AP25" s="26"/>
      <c r="AQ25" s="26"/>
      <c r="AR25" s="26"/>
    </row>
    <row r="26" spans="1:44" ht="25.5" customHeight="1" x14ac:dyDescent="0.75">
      <c r="A26" s="43" t="s">
        <v>55</v>
      </c>
      <c r="B26" s="20" t="s">
        <v>11</v>
      </c>
      <c r="C26" s="24">
        <v>37600</v>
      </c>
      <c r="D26" s="24">
        <v>43240</v>
      </c>
      <c r="E26" s="24">
        <v>49800</v>
      </c>
      <c r="F26" s="24">
        <v>52400</v>
      </c>
      <c r="G26" s="24">
        <v>841500</v>
      </c>
      <c r="H26" s="24">
        <f>SUM([3]สรุปผลงาน!$Q$173)</f>
        <v>885300</v>
      </c>
      <c r="I26" s="24">
        <v>953125</v>
      </c>
      <c r="J26" s="24">
        <v>942954</v>
      </c>
      <c r="K26" s="24">
        <v>1015625</v>
      </c>
      <c r="L26" s="24">
        <v>752007</v>
      </c>
      <c r="M26" s="24">
        <v>1043750</v>
      </c>
      <c r="N26" s="24">
        <v>992158</v>
      </c>
      <c r="O26" s="24">
        <v>1050000</v>
      </c>
      <c r="P26" s="24">
        <v>1050000</v>
      </c>
      <c r="Q26" s="25">
        <v>1053125</v>
      </c>
      <c r="R26" s="25">
        <v>1079090</v>
      </c>
      <c r="S26" s="26">
        <v>1053125</v>
      </c>
      <c r="T26" s="26">
        <v>1053125</v>
      </c>
      <c r="U26" s="26">
        <v>878800</v>
      </c>
      <c r="V26" s="26">
        <v>891115</v>
      </c>
      <c r="W26" s="26">
        <f>SUM([2]ปชส!C25)</f>
        <v>878800</v>
      </c>
      <c r="X26" s="26">
        <v>878800</v>
      </c>
      <c r="Y26" s="26">
        <v>878800</v>
      </c>
      <c r="Z26" s="26">
        <v>880900</v>
      </c>
      <c r="AA26" s="26">
        <v>878800</v>
      </c>
      <c r="AB26" s="26">
        <v>878800</v>
      </c>
      <c r="AC26" s="26">
        <v>852500</v>
      </c>
      <c r="AD26" s="26">
        <v>875000</v>
      </c>
      <c r="AE26" s="26">
        <v>852500</v>
      </c>
      <c r="AF26" s="26">
        <v>852500</v>
      </c>
      <c r="AG26" s="26">
        <v>860000</v>
      </c>
      <c r="AH26" s="26">
        <f>SUM('[1]สรุป ฟป.5'!D25)</f>
        <v>766438</v>
      </c>
      <c r="AI26" s="26">
        <v>701000</v>
      </c>
      <c r="AJ26" s="26">
        <v>645200</v>
      </c>
      <c r="AK26" s="26">
        <v>707000</v>
      </c>
      <c r="AL26" s="26">
        <v>643050</v>
      </c>
      <c r="AM26" s="26">
        <v>733000</v>
      </c>
      <c r="AN26" s="26">
        <v>733000</v>
      </c>
      <c r="AO26" s="26"/>
      <c r="AP26" s="26"/>
      <c r="AQ26" s="26"/>
      <c r="AR26" s="26"/>
    </row>
    <row r="27" spans="1:44" ht="25.5" customHeight="1" x14ac:dyDescent="0.75">
      <c r="A27" s="22" t="s">
        <v>49</v>
      </c>
      <c r="B27" s="2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5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</row>
    <row r="28" spans="1:44" ht="25.5" customHeight="1" x14ac:dyDescent="0.75">
      <c r="A28" s="43" t="s">
        <v>50</v>
      </c>
      <c r="B28" s="20" t="s">
        <v>11</v>
      </c>
      <c r="C28" s="24">
        <v>17084930</v>
      </c>
      <c r="D28" s="24">
        <v>17084930</v>
      </c>
      <c r="E28" s="24">
        <v>29243652</v>
      </c>
      <c r="F28" s="24">
        <v>29487167</v>
      </c>
      <c r="G28" s="24">
        <v>33837070</v>
      </c>
      <c r="H28" s="24">
        <f>G28</f>
        <v>33837070</v>
      </c>
      <c r="I28" s="24">
        <v>36188369</v>
      </c>
      <c r="J28" s="24">
        <v>36188369</v>
      </c>
      <c r="K28" s="24">
        <v>36688369</v>
      </c>
      <c r="L28" s="24">
        <v>36688369</v>
      </c>
      <c r="M28" s="24">
        <v>37420884</v>
      </c>
      <c r="N28" s="24">
        <v>37420884</v>
      </c>
      <c r="O28" s="24">
        <v>37420884</v>
      </c>
      <c r="P28" s="24">
        <v>37420884</v>
      </c>
      <c r="Q28" s="25">
        <v>21062500</v>
      </c>
      <c r="R28" s="25">
        <v>21062500</v>
      </c>
      <c r="S28" s="26">
        <v>21062500</v>
      </c>
      <c r="T28" s="26">
        <v>21062500</v>
      </c>
      <c r="U28" s="26">
        <v>21062500</v>
      </c>
      <c r="V28" s="26">
        <v>21062500</v>
      </c>
      <c r="W28" s="26">
        <f>SUM([2]ปชส!C27)</f>
        <v>21062500</v>
      </c>
      <c r="X28" s="26">
        <v>21062500</v>
      </c>
      <c r="Y28" s="26">
        <v>21062500</v>
      </c>
      <c r="Z28" s="26">
        <v>21062500</v>
      </c>
      <c r="AA28" s="26">
        <v>21062500</v>
      </c>
      <c r="AB28" s="26">
        <v>21062500</v>
      </c>
      <c r="AC28" s="26">
        <v>21250000</v>
      </c>
      <c r="AD28" s="26">
        <v>21250000</v>
      </c>
      <c r="AE28" s="26">
        <v>21375000</v>
      </c>
      <c r="AF28" s="26">
        <v>21375000</v>
      </c>
      <c r="AG28" s="26">
        <v>21625000</v>
      </c>
      <c r="AH28" s="26">
        <v>21625000</v>
      </c>
      <c r="AI28" s="47">
        <v>21812500</v>
      </c>
      <c r="AJ28" s="47">
        <v>21812500</v>
      </c>
      <c r="AK28" s="47">
        <v>22000000</v>
      </c>
      <c r="AL28" s="47">
        <v>22000000</v>
      </c>
      <c r="AM28" s="47">
        <v>22812500</v>
      </c>
      <c r="AN28" s="47">
        <v>22812500</v>
      </c>
      <c r="AO28" s="47"/>
      <c r="AP28" s="47"/>
      <c r="AQ28" s="47"/>
      <c r="AR28" s="47"/>
    </row>
    <row r="29" spans="1:44" ht="25.5" customHeight="1" x14ac:dyDescent="0.75">
      <c r="A29" s="43" t="s">
        <v>51</v>
      </c>
      <c r="B29" s="2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5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</row>
    <row r="30" spans="1:44" ht="25.5" customHeight="1" x14ac:dyDescent="0.75">
      <c r="A30" s="43" t="s">
        <v>127</v>
      </c>
      <c r="B30" s="20" t="s">
        <v>7</v>
      </c>
      <c r="C30" s="24" t="s">
        <v>22</v>
      </c>
      <c r="D30" s="24">
        <v>7909</v>
      </c>
      <c r="E30" s="24" t="s">
        <v>22</v>
      </c>
      <c r="F30" s="24">
        <v>7800</v>
      </c>
      <c r="G30" s="24" t="s">
        <v>22</v>
      </c>
      <c r="H30" s="24">
        <f>SUM([3]สรุปผลงาน!$S$173)</f>
        <v>9758</v>
      </c>
      <c r="I30" s="24" t="s">
        <v>22</v>
      </c>
      <c r="J30" s="24">
        <v>10084</v>
      </c>
      <c r="K30" s="24" t="s">
        <v>22</v>
      </c>
      <c r="L30" s="24">
        <v>11974</v>
      </c>
      <c r="M30" s="24" t="s">
        <v>22</v>
      </c>
      <c r="N30" s="24">
        <v>8011</v>
      </c>
      <c r="O30" s="24" t="s">
        <v>22</v>
      </c>
      <c r="P30" s="24">
        <v>10544</v>
      </c>
      <c r="Q30" s="25" t="s">
        <v>22</v>
      </c>
      <c r="R30" s="25">
        <v>9447</v>
      </c>
      <c r="S30" s="26" t="s">
        <v>22</v>
      </c>
      <c r="T30" s="26">
        <v>4711</v>
      </c>
      <c r="U30" s="26" t="s">
        <v>22</v>
      </c>
      <c r="V30" s="26">
        <v>7757</v>
      </c>
      <c r="W30" s="26" t="s">
        <v>22</v>
      </c>
      <c r="X30" s="26">
        <v>5569</v>
      </c>
      <c r="Y30" s="26" t="s">
        <v>22</v>
      </c>
      <c r="Z30" s="26">
        <v>5361</v>
      </c>
      <c r="AA30" s="26" t="s">
        <v>22</v>
      </c>
      <c r="AB30" s="26">
        <v>6784</v>
      </c>
      <c r="AC30" s="26" t="s">
        <v>22</v>
      </c>
      <c r="AD30" s="26">
        <v>2492</v>
      </c>
      <c r="AE30" s="26" t="s">
        <v>22</v>
      </c>
      <c r="AF30" s="26">
        <v>3995</v>
      </c>
      <c r="AG30" s="26" t="s">
        <v>22</v>
      </c>
      <c r="AH30" s="26">
        <f>SUM('[4]1.เปรียบเทียบภาค 55-56'!$D$13)</f>
        <v>5257</v>
      </c>
      <c r="AI30" s="26" t="s">
        <v>22</v>
      </c>
      <c r="AJ30" s="26">
        <v>4207</v>
      </c>
      <c r="AK30" s="26" t="s">
        <v>22</v>
      </c>
      <c r="AL30" s="26">
        <v>4982</v>
      </c>
      <c r="AM30" s="26" t="s">
        <v>22</v>
      </c>
      <c r="AN30" s="26">
        <v>6846</v>
      </c>
      <c r="AO30" s="26"/>
      <c r="AP30" s="26"/>
      <c r="AQ30" s="26"/>
      <c r="AR30" s="26"/>
    </row>
    <row r="31" spans="1:44" s="12" customFormat="1" ht="25.5" customHeight="1" x14ac:dyDescent="0.75">
      <c r="A31" s="44" t="s">
        <v>52</v>
      </c>
      <c r="B31" s="23" t="s">
        <v>11</v>
      </c>
      <c r="C31" s="29" t="s">
        <v>22</v>
      </c>
      <c r="D31" s="29">
        <v>323940</v>
      </c>
      <c r="E31" s="29" t="s">
        <v>22</v>
      </c>
      <c r="F31" s="29">
        <v>182055</v>
      </c>
      <c r="G31" s="29" t="s">
        <v>22</v>
      </c>
      <c r="H31" s="29">
        <f>SUM([3]สรุปผลงาน!$T$173)</f>
        <v>166174.35000000003</v>
      </c>
      <c r="I31" s="29" t="s">
        <v>22</v>
      </c>
      <c r="J31" s="29">
        <v>168630</v>
      </c>
      <c r="K31" s="29" t="s">
        <v>22</v>
      </c>
      <c r="L31" s="29">
        <v>253390.55</v>
      </c>
      <c r="M31" s="29" t="s">
        <v>22</v>
      </c>
      <c r="N31" s="29">
        <v>98523</v>
      </c>
      <c r="O31" s="29" t="s">
        <v>22</v>
      </c>
      <c r="P31" s="29">
        <v>201757.85</v>
      </c>
      <c r="Q31" s="30" t="s">
        <v>22</v>
      </c>
      <c r="R31" s="30">
        <v>189276</v>
      </c>
      <c r="S31" s="31" t="s">
        <v>22</v>
      </c>
      <c r="T31" s="31">
        <v>53884.95</v>
      </c>
      <c r="U31" s="31" t="s">
        <v>22</v>
      </c>
      <c r="V31" s="31">
        <v>117395.2</v>
      </c>
      <c r="W31" s="31" t="s">
        <v>22</v>
      </c>
      <c r="X31" s="31">
        <v>70810.100000000006</v>
      </c>
      <c r="Y31" s="31" t="s">
        <v>22</v>
      </c>
      <c r="Z31" s="31">
        <v>61083.6</v>
      </c>
      <c r="AA31" s="31" t="s">
        <v>22</v>
      </c>
      <c r="AB31" s="31">
        <v>83175.63</v>
      </c>
      <c r="AC31" s="31" t="s">
        <v>22</v>
      </c>
      <c r="AD31" s="31">
        <v>25489.1</v>
      </c>
      <c r="AE31" s="31" t="s">
        <v>22</v>
      </c>
      <c r="AF31" s="31">
        <v>47899</v>
      </c>
      <c r="AG31" s="31" t="s">
        <v>22</v>
      </c>
      <c r="AH31" s="31">
        <f>SUM('[4]1.เปรียบเทียบภาค 55-56'!$E$13)</f>
        <v>58516.880000000005</v>
      </c>
      <c r="AI31" s="31" t="s">
        <v>22</v>
      </c>
      <c r="AJ31" s="31">
        <v>50723</v>
      </c>
      <c r="AK31" s="31" t="s">
        <v>22</v>
      </c>
      <c r="AL31" s="31">
        <v>60453.11</v>
      </c>
      <c r="AM31" s="31" t="s">
        <v>22</v>
      </c>
      <c r="AN31" s="31">
        <v>125896.01000000001</v>
      </c>
      <c r="AO31" s="31"/>
      <c r="AP31" s="31"/>
      <c r="AQ31" s="31"/>
      <c r="AR31" s="31"/>
    </row>
    <row r="32" spans="1:44" s="12" customFormat="1" ht="25.5" customHeight="1" x14ac:dyDescent="0.75">
      <c r="A32" s="16"/>
      <c r="C32" s="36"/>
      <c r="D32" s="36"/>
      <c r="E32" s="36"/>
      <c r="F32" s="36"/>
      <c r="G32" s="36"/>
      <c r="H32" s="36"/>
      <c r="I32" s="37"/>
      <c r="J32" s="36"/>
      <c r="K32" s="32"/>
      <c r="L32" s="32"/>
      <c r="M32" s="32"/>
      <c r="N32" s="32"/>
      <c r="O32" s="32"/>
      <c r="P32" s="32"/>
      <c r="Q32" s="37"/>
      <c r="R32" s="37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1:10" ht="25.5" customHeight="1" x14ac:dyDescent="0.75">
      <c r="A33" s="79" t="s">
        <v>140</v>
      </c>
      <c r="C33" s="36"/>
      <c r="D33" s="36"/>
      <c r="E33" s="36"/>
      <c r="F33" s="36"/>
      <c r="G33" s="36"/>
      <c r="H33" s="36"/>
      <c r="I33" s="36"/>
      <c r="J33" s="36"/>
    </row>
    <row r="34" spans="1:10" ht="25.5" customHeight="1" x14ac:dyDescent="0.75">
      <c r="A34" s="79" t="s">
        <v>141</v>
      </c>
      <c r="C34" s="36"/>
      <c r="D34" s="36"/>
      <c r="E34" s="36"/>
      <c r="F34" s="36"/>
      <c r="G34" s="36"/>
      <c r="H34" s="36"/>
      <c r="I34" s="36"/>
      <c r="J34" s="36"/>
    </row>
    <row r="35" spans="1:10" ht="25.5" customHeight="1" x14ac:dyDescent="0.75">
      <c r="A35" s="79" t="s">
        <v>142</v>
      </c>
      <c r="C35" s="36"/>
      <c r="D35" s="36"/>
      <c r="E35" s="36"/>
      <c r="F35" s="36"/>
      <c r="G35" s="36"/>
      <c r="H35" s="36"/>
      <c r="I35" s="36"/>
      <c r="J35" s="36"/>
    </row>
    <row r="36" spans="1:10" ht="25.5" customHeight="1" x14ac:dyDescent="0.75">
      <c r="A36" s="79" t="s">
        <v>145</v>
      </c>
    </row>
  </sheetData>
  <mergeCells count="25">
    <mergeCell ref="AQ4:AR4"/>
    <mergeCell ref="C25:J25"/>
    <mergeCell ref="C4:D4"/>
    <mergeCell ref="E4:F4"/>
    <mergeCell ref="G4:H4"/>
    <mergeCell ref="I4:J4"/>
    <mergeCell ref="K4:L4"/>
    <mergeCell ref="AI4:AJ4"/>
    <mergeCell ref="AI6:AJ6"/>
    <mergeCell ref="AM4:AN4"/>
    <mergeCell ref="AO4:AP4"/>
    <mergeCell ref="AK4:AL4"/>
    <mergeCell ref="AA4:AB4"/>
    <mergeCell ref="Y4:Z4"/>
    <mergeCell ref="W4:X4"/>
    <mergeCell ref="U4:V4"/>
    <mergeCell ref="A1:AF1"/>
    <mergeCell ref="A2:AF2"/>
    <mergeCell ref="AG4:AH4"/>
    <mergeCell ref="AE4:AF4"/>
    <mergeCell ref="AC4:AD4"/>
    <mergeCell ref="O4:P4"/>
    <mergeCell ref="M4:N4"/>
    <mergeCell ref="Q4:R4"/>
    <mergeCell ref="S4:T4"/>
  </mergeCells>
  <phoneticPr fontId="2" type="noConversion"/>
  <pageMargins left="0.19685039370078741" right="0.27559055118110237" top="0.47244094488188981" bottom="0.47244094488188981" header="0.31496062992125984" footer="0.23622047244094491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9 จังหวัดok </vt:lpstr>
      <vt:lpstr>ปชส(ok)</vt:lpstr>
      <vt:lpstr>'9 จังหวัดok '!Print_Titles</vt:lpstr>
      <vt:lpstr>'ปชส(ok)'!Print_Titles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Supparat</dc:creator>
  <cp:lastModifiedBy>chaiyawat suppasilp</cp:lastModifiedBy>
  <cp:lastPrinted>2022-04-28T09:10:17Z</cp:lastPrinted>
  <dcterms:created xsi:type="dcterms:W3CDTF">2000-07-05T02:12:51Z</dcterms:created>
  <dcterms:modified xsi:type="dcterms:W3CDTF">2024-11-20T06:22:56Z</dcterms:modified>
</cp:coreProperties>
</file>